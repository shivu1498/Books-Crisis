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Calc"/>
  <workbookPr defaultThemeVersion="153222"/>
  <bookViews>
    <workbookView xWindow="0" yWindow="0" windowWidth="16384" windowHeight="8192" activeTab="0" tabRatio="500"/>
  </bookViews>
  <sheets>
    <sheet name="Year by Year" sheetId="1" r:id="rId1"/>
    <sheet name="Event Years Only" sheetId="2" r:id="rId2"/>
    <sheet name="Period Summary" sheetId="3" r:id="rId3"/>
    <sheet name="Legend &amp; Method" sheetId="4" r:id="rId4"/>
  </sheets>
  <definedNames>
    <definedName name="_xlnm._FilterDatabase" localSheetId="0" hidden="1">'Year by Year'!$A$1:$H$1228</definedName>
    <definedName name="_xlnm._FilterDatabase" localSheetId="1" hidden="1">'Event Years Only'!$A$1:$H$290</definedName>
    <definedName name="_xlnm._FilterDatabase" localSheetId="0" hidden="1">'Year by Year'!$A$1:$H$1228</definedName>
  </definedNames>
  <calcPr iterateDelta="1.0E-4"/>
</workbook>
</file>

<file path=xl/sharedStrings.xml><?xml version="1.0" encoding="utf-8"?>
<sst xmlns="http://schemas.openxmlformats.org/spreadsheetml/2006/main" uniqueCount="943" count="943">
  <si>
    <t>Year</t>
  </si>
  <si>
    <t>Era</t>
  </si>
  <si>
    <t>Status</t>
  </si>
  <si>
    <t>Event / Episode</t>
  </si>
  <si>
    <t>Category</t>
  </si>
  <si>
    <t>Geography</t>
  </si>
  <si>
    <t>What Happened</t>
  </si>
  <si>
    <t>Severity (0-5)</t>
  </si>
  <si>
    <t>Pre-market (800-1299)</t>
  </si>
  <si>
    <t>Quiet</t>
  </si>
  <si>
    <t>Charlemagne's silver denier standard consolidated</t>
  </si>
  <si>
    <t>Market milestone</t>
  </si>
  <si>
    <t>Carolingian Empire</t>
  </si>
  <si>
    <t>The reformed silver penny became the money of account for Western Europe for the next five centuries. Western Europe had no gold coinage of its own from this point until 1252 - a measure of how far behind Baghdad and Constantinople it had fallen.</t>
  </si>
  <si>
    <t>No major recorded crisis, default or scandal</t>
  </si>
  <si>
    <t>None</t>
  </si>
  <si>
    <t>-</t>
  </si>
  <si>
    <t>No episode of significant scale in the surviving record for this year. Coverage in this period is fragmentary everywhere and near-absent for much of Europe; silence is very weak evidence.</t>
  </si>
  <si>
    <t>EVENT</t>
  </si>
  <si>
    <t>Tang 'money famine' (qian huang)</t>
  </si>
  <si>
    <t>Monetary contraction</t>
  </si>
  <si>
    <t>China</t>
  </si>
  <si>
    <t>Copper coin was chronically short as the Tang economy monetised faster than the mints could supply. Coin was hoarded and melted for bronzeware, which was worth more than the coin itself.</t>
  </si>
  <si>
    <t>Tang bans coin hoarding; 'flying cash' emerges</t>
  </si>
  <si>
    <t>Monetary contraction / Milestone</t>
  </si>
  <si>
    <t>The state capped private coin holdings. Merchants worked around the shortage with feiqian, remittance drafts allowing money paid in the capital to be drawn in the provinces - a functioning bill of exchange six centuries before Europe.</t>
  </si>
  <si>
    <t>GREAT ANTI-BUDDHIST PERSECUTION - monastic wealth confiscated</t>
  </si>
  <si>
    <t>Sovereign expropriation</t>
  </si>
  <si>
    <t>Emperor Wuzong dissolved some 4,600 monasteries, seized their land and defrocked 260,000 monks, melting bronze statuary and bells into coin to solve the copper shortage. A state seizure of the largest pool of private wealth in the empire, executed explicitly as monetary policy.</t>
  </si>
  <si>
    <t>Monastic credit network destroyed</t>
  </si>
  <si>
    <t>Credit collapse</t>
  </si>
  <si>
    <t>Buddhist monasteries had been China's principal lenders, pawnbrokers and grain-storage institutions. Their dissolution removed the rural credit system.</t>
  </si>
  <si>
    <t>ANARCHY AT SAMARRA begins - Abbasid fiscal collapse</t>
  </si>
  <si>
    <t>Fiscal collapse</t>
  </si>
  <si>
    <t>Abbasid Caliphate</t>
  </si>
  <si>
    <t>After al-Mutawakkil's murder, four caliphs died in nine years while the Turkish guard demanded pay the treasury did not have. Tax revenue collapsed, the dirham was debased, and the richest state on earth became insolvent.</t>
  </si>
  <si>
    <t>Samarra anarchy peak; Baghdad besieged</t>
  </si>
  <si>
    <t>Rival caliphs fought over an empty treasury. Provincial governors stopped remitting revenue and began keeping it.</t>
  </si>
  <si>
    <t>ZANJ REBELLION begins</t>
  </si>
  <si>
    <t>Systemic shock</t>
  </si>
  <si>
    <t>Abbasid Caliphate (Iraq)</t>
  </si>
  <si>
    <t>A rising of enslaved East African labourers in the salt marshes of southern Iraq. It occupied the most commercially valuable region of the caliphate for fourteen years.</t>
  </si>
  <si>
    <t>Zanj sack Basra</t>
  </si>
  <si>
    <t>Basra was the entrepot of the Indian Ocean trade and the centre of Gulf commercial finance. Its destruction severed the caliphate's most profitable revenue stream.</t>
  </si>
  <si>
    <t>Zanj war; southern Iraqi agriculture ruined</t>
  </si>
  <si>
    <t>The irrigation system of the Sawad, the caliphate's tax base, was wrecked and never fully restored.</t>
  </si>
  <si>
    <t>Huang Chao sacks Guangzhou</t>
  </si>
  <si>
    <t>The rebel army massacred the foreign merchant community - Arab, Persian and Jewish traders - in China's principal international port. Contemporary Arabic accounts put the dead in the tens of thousands. Maritime trade finance between China and the Gulf collapsed for a generation.</t>
  </si>
  <si>
    <t>Huang Chao sacks Chang'an</t>
  </si>
  <si>
    <t>The Tang capital was destroyed. Central fiscal authority never recovered; the dynasty fell in 907.</t>
  </si>
  <si>
    <t>Zanj rebellion suppressed</t>
  </si>
  <si>
    <t>Recovery</t>
  </si>
  <si>
    <t>Order restored at enormous cost, but Basra's commercial primacy passed permanently to Egypt and the Red Sea route.</t>
  </si>
  <si>
    <t>Abbasid court bankers formalised (jahbadh)</t>
  </si>
  <si>
    <t>The Jewish banking house of Joseph b. Phinehas and Aaron b. Amram advanced the caliphate roughly 30,000 dinars a month against assigned tax farms, operated deposit accounts for the vizier and cleared payments by suftaja between Baghdad and the provinces. A recognisable sovereign lending relationship, four centuries before the Bardi.</t>
  </si>
  <si>
    <t>Abbasid fiscal crisis; the vizier Ibn al-Furat falls</t>
  </si>
  <si>
    <t>Tax farming had become a rolling short-term borrowing operation against revenues already pledged. Viziers were appointed and executed according to whether they could raise cash.</t>
  </si>
  <si>
    <t>Abbasid treasury insolvent; army mutinies over pay</t>
  </si>
  <si>
    <t>The caliph al-Qahir tortured his predecessor's family for hidden money. Salaries went unpaid for months.</t>
  </si>
  <si>
    <t>IQTA SYSTEM INTRODUCED - default settled in kind</t>
  </si>
  <si>
    <t>Sovereign default</t>
  </si>
  <si>
    <t>Unable to pay cash salaries, the state assigned soldiers the right to collect land revenue directly. Presented as administration, it was the liquidation of a bankrupt fiscal state - and it dismantled central control over revenue permanently.</t>
  </si>
  <si>
    <t>Buyids take Baghdad; caliphal finances extinguished</t>
  </si>
  <si>
    <t>The caliph became a pensioner of his own conquerors. The most sophisticated financial administration in the world was gone as a going concern.</t>
  </si>
  <si>
    <t>Fatimids conquer Egypt; Cairo founded</t>
  </si>
  <si>
    <t>Fatimid Egypt</t>
  </si>
  <si>
    <t>Financial and commercial gravity in the Islamic world shifted from Iraq to Egypt and the Red Sea. The Cairo Geniza documents from this period record partnership, credit and remittance practice in extraordinary detail.</t>
  </si>
  <si>
    <t>DANEGELD begins - England buys off Viking fleets</t>
  </si>
  <si>
    <t>Extortion / Fiscal drain</t>
  </si>
  <si>
    <t>England</t>
  </si>
  <si>
    <t>£10,000 in silver paid after Maldon. It established a market price for not being invaded, which naturally rose.</t>
  </si>
  <si>
    <t>Danegeld £16,000</t>
  </si>
  <si>
    <t>Payment attracted further fleets, exactly as Archbishop Wulfstan and later chroniclers complained.</t>
  </si>
  <si>
    <t>Danegeld £24,000; St Brice's Day massacre</t>
  </si>
  <si>
    <t>Aethelred paid, then massacred Danish settlers, guaranteeing a larger demand next time.</t>
  </si>
  <si>
    <t>Fatimid confiscations under al-Hakim</t>
  </si>
  <si>
    <t>Arbitrary seizures of merchant property and erratic market decrees under an unpredictable caliph. Commercial confidence in Cairo suffered badly.</t>
  </si>
  <si>
    <t>Danegeld £36,000</t>
  </si>
  <si>
    <t>English silver flowed to Scandinavia in such quantity that more Anglo-Saxon coin of this period survives in Swedish hoards than in England.</t>
  </si>
  <si>
    <t>Danegeld £48,000</t>
  </si>
  <si>
    <t>The levy now required repeated national assessment and drove land sales and enslavement for debt.</t>
  </si>
  <si>
    <t>Cnut's geld - £82,500, the largest single levy</t>
  </si>
  <si>
    <t>Roughly a decade of ordinary royal revenue extracted at once to pay off the invasion fleet. England's silver stock was drained on a scale visible in the archaeological record.</t>
  </si>
  <si>
    <t>Private jiaozi note-issuers of Sichuan fail</t>
  </si>
  <si>
    <t>Bank failure</t>
  </si>
  <si>
    <t>Sixteen merchant houses in Chengdu had been issuing redeemable paper deposit notes. Several could not meet redemption; litigation and disorder followed. The first recorded failure of private paper-money issuers anywhere.</t>
  </si>
  <si>
    <t>SONG STATE ASSUMES THE JIAOZI ISSUE</t>
  </si>
  <si>
    <t>The state took over note issue and established the Jiaozi Bureau - the world's first government paper currency, created as a response to private issuer failure. Every subsequent Chinese paper-money collapse, from the Jin to the Yuan to the Ming, descends from this decision.</t>
  </si>
  <si>
    <t>BYZANTINE DEBASEMENT BEGINS</t>
  </si>
  <si>
    <t>Currency debasement</t>
  </si>
  <si>
    <t>Byzantine Empire</t>
  </si>
  <si>
    <t>Michael IV, a former money-changer, began reducing the gold content of the nomisma - a coin that had held its standard for seven hundred years and served as the reserve currency of the Mediterranean.</t>
  </si>
  <si>
    <t>Great famine across Western Europe</t>
  </si>
  <si>
    <t>Commodity crisis</t>
  </si>
  <si>
    <t>Europe</t>
  </si>
  <si>
    <t>Three years of failed harvests. Rodulfus Glaber's account describes grain prices at unheard-of levels and the collapse of rents and obligations.</t>
  </si>
  <si>
    <t>Byzantine debasement continues</t>
  </si>
  <si>
    <t>Successive emperors financed deficits by cutting fineness rather than raising tax. The debasement was concealed, not announced.</t>
  </si>
  <si>
    <t>Silver famine across the Islamic world</t>
  </si>
  <si>
    <t>Middle East / Central Asia</t>
  </si>
  <si>
    <t>The Central Asian silver mines that had supplied the dirham were exhausted. Silver coinage across the Islamic world was progressively debased or replaced with billon and copper.</t>
  </si>
  <si>
    <t>Byzantine debasement accelerates under Constantine X</t>
  </si>
  <si>
    <t>Fineness fell sharply while the coin circulated at unchanged face value - a concealed default on every contract denominated in gold.</t>
  </si>
  <si>
    <t>SHIDDA AL-UZMA - the Great Calamity begins</t>
  </si>
  <si>
    <t>Systemic collapse</t>
  </si>
  <si>
    <t>Seven years of low Nile floods, plague, army mutiny and monetary collapse. The most complete breakdown of a major medieval economy for which detailed records survive.</t>
  </si>
  <si>
    <t>Shidda - the caliph's treasury liquidated</t>
  </si>
  <si>
    <t>Unpaid troops looted the palace. The caliphal library, treasury and regalia were sold off or destroyed; contemporary accounts describe books used as fuel and the caliph himself reduced to dependence on charity.</t>
  </si>
  <si>
    <t>Shidda - famine and currency collapse in Cairo</t>
  </si>
  <si>
    <t>Prices reached levels at which coin ceased to function. Egypt's population fell sharply; the Geniza records show long-distance trade contracts being abandoned.</t>
  </si>
  <si>
    <t>Manzikert - Byzantium loses the Anatolian tax base</t>
  </si>
  <si>
    <t>Fiscal shock</t>
  </si>
  <si>
    <t>The empire's principal recruiting ground and revenue province was lost within a decade, at the exact moment its currency was collapsing.</t>
  </si>
  <si>
    <t>Shidda ends; Badr al-Jamali restores order</t>
  </si>
  <si>
    <t>Order was restored by military dictatorship. The Fatimid state never regained its fiscal position.</t>
  </si>
  <si>
    <t>Byzantine nomisma collapses to roughly a third gold</t>
  </si>
  <si>
    <t>Currency collapse</t>
  </si>
  <si>
    <t>The Mediterranean's reserve currency had lost most of its metal in under fifty years. Tax was demanded in old good coin and paid out in new bad coin - the state arbitraging its own citizens.</t>
  </si>
  <si>
    <t>Byzantium grants Venice customs-free trade</t>
  </si>
  <si>
    <t>Revenue pledge to creditor</t>
  </si>
  <si>
    <t>Byzantine Empire / Venice</t>
  </si>
  <si>
    <t>In exchange for naval assistance, Alexios I exempted Venetian merchants from customs duties throughout the empire. A sovereign pledging its own revenue base to a creditor, with consequences that ran directly to 1204.</t>
  </si>
  <si>
    <t>Domesday Book</t>
  </si>
  <si>
    <t>A systematic survey of the realm's assets and revenues for fiscal purposes. Nothing comparable existed in Europe for centuries afterwards.</t>
  </si>
  <si>
    <t>ALEXIOS I COINAGE REFORM - the hyperpyron</t>
  </si>
  <si>
    <t>Regulatory response</t>
  </si>
  <si>
    <t>A clean recoinage on a new standard after the old currency became unusable. It worked, but the empire's monetary credibility was permanently reduced.</t>
  </si>
  <si>
    <t>First Crusade financing; Rhineland massacres</t>
  </si>
  <si>
    <t>War finance / Debt destruction</t>
  </si>
  <si>
    <t>Nobles mortgaged and sold estates at distressed prices to equip themselves. Crusader bands massacred the Jewish communities of Speyer, Worms and Mainz, destroying both the lenders and the records of what was owed to them.</t>
  </si>
  <si>
    <t>ASSIZE OF MONEYERS - 94 moneyers mutilated at Winchester</t>
  </si>
  <si>
    <t>Fraud enforcement</t>
  </si>
  <si>
    <t>Henry I summoned every moneyer in England at Christmas and had almost all of them mutilated for debasing the coinage. Brutal, but it worked: English coin quality was restored and held for a century. The most severe enforcement action against financial fraud in European history.</t>
  </si>
  <si>
    <t>Templars recognised at the Council of Troyes</t>
  </si>
  <si>
    <t>The order that would build Europe's first international deposit, transfer and lending network - and be destroyed for it by the French crown in 1307.</t>
  </si>
  <si>
    <t>The Anarchy begins; English coinage fragments</t>
  </si>
  <si>
    <t>Civil war between Stephen and Matilda. Barons struck their own debased coin; over 100 unofficial types survive from the period.</t>
  </si>
  <si>
    <t>Anarchy at its height; monetary system breaks down</t>
  </si>
  <si>
    <t>The royal monopoly on coinage effectively ceased to exist. Contemporary chroniclers describe money that no one would accept.</t>
  </si>
  <si>
    <t>Genoa creates the first compere</t>
  </si>
  <si>
    <t>Genoa</t>
  </si>
  <si>
    <t>Genoa consolidated state debts into shares secured on specific tax revenues, transferable between holders. The earliest clear ancestor of the tradeable government bond.</t>
  </si>
  <si>
    <t>Southern Song huizi over-issued</t>
  </si>
  <si>
    <t>Inflation</t>
  </si>
  <si>
    <t>Paper currency issued far beyond the reserve to fund war against the Jin. The notes depreciated steadily for the next century and a half.</t>
  </si>
  <si>
    <t>Third Lateran Council condemns usury</t>
  </si>
  <si>
    <t>Regulatory</t>
  </si>
  <si>
    <t>Manifest usurers were denied communion and Christian burial. The prohibition did not stop lending; it shaped the legal fictions - discounting, exchange rates, penalty clauses - by which European credit was written for the next four hundred years.</t>
  </si>
  <si>
    <t>MASSACRE OF THE LATINS in Constantinople</t>
  </si>
  <si>
    <t>Expropriation / Systemic shock</t>
  </si>
  <si>
    <t>The Venetian, Genoese and Pisan merchant colonies were massacred and their property and warehouses seized. Perhaps tens of thousands died. It destroyed Italian confidence in Byzantine protection and was still being cited as justification in 1204.</t>
  </si>
  <si>
    <t>Fall of Jerusalem; the Saladin tithe</t>
  </si>
  <si>
    <t>War finance</t>
  </si>
  <si>
    <t>Levant / England / France</t>
  </si>
  <si>
    <t>The military orders lost their eastern treasuries. England and France imposed a tithe on all moveable property - among the first general taxes on personal wealth in Europe.</t>
  </si>
  <si>
    <t>YORK MASSACRE - debt bonds burned in the Minster</t>
  </si>
  <si>
    <t>Debt destruction</t>
  </si>
  <si>
    <t>Indebted gentry led a mob against York's Jewish community; roughly 150 died at Clifford's Tower. The mob then went to the Minster and burned the records of debt held there. Debt cancellation carried out by killing the creditors.</t>
  </si>
  <si>
    <t>Richard I's ransom - 150,000 marks</t>
  </si>
  <si>
    <t>England / Germany</t>
  </si>
  <si>
    <t>Two to three years of total royal revenue extracted from England at once, through levies on income, moveable property, wool and church plate. The most efficient act of medieval fiscal extraction on record, and a template for later taxation.</t>
  </si>
  <si>
    <t>FOURTH CRUSADE SACKS CONSTANTINOPLE</t>
  </si>
  <si>
    <t>Debt enforcement / Systemic shock</t>
  </si>
  <si>
    <t>The Crusaders contracted with Venice for 85,000 marks of shipping, then could not pay. Venice took the debt in kind: first the sack of Zara, then Constantinople itself. The greatest city in Christendom was destroyed as a debt-collection exercise - and Venice took the empire's trade quarters and its collateral. No episode in the entire 1227-year register shows more starkly what an unsecured creditor with leverage will do.</t>
  </si>
  <si>
    <t>Partitio Romaniae; Byzantine assets liquidated</t>
  </si>
  <si>
    <t>Asset liquidation</t>
  </si>
  <si>
    <t>Byzantine Empire / Europe</t>
  </si>
  <si>
    <t>The empire was divided by treaty among the creditors and their allies. Relics, bronzes and treasure were shipped west and sold; the Venetian quadriga still stands on St Mark's.</t>
  </si>
  <si>
    <t>King John's tallage of the Jews - £44,000 under torture</t>
  </si>
  <si>
    <t>An extraction of roughly a year's total royal revenue from a single small community, enforced by imprisonment and mutilation. The Crown treated English Jewry as a wholly-owned asset to be periodically stripped.</t>
  </si>
  <si>
    <t>Magna Carta; Fourth Lateran Council</t>
  </si>
  <si>
    <t>Regulatory / Milestone</t>
  </si>
  <si>
    <t>England / Europe</t>
  </si>
  <si>
    <t>Magna Carta's clauses on debts owed to Jews and on consent to extraordinary levies are among the earliest constraints on sovereign financial conduct. The Lateran Council tightened usury rules and imposed distinguishing dress on Jews and Muslims.</t>
  </si>
  <si>
    <t>MONGOL DESTRUCTION OF THE KHWAREZMIAN CITIES</t>
  </si>
  <si>
    <t>Central Asia</t>
  </si>
  <si>
    <t>Bukhara and Samarkand were taken and sacked. The commercial cities that intermediated the entire overland trade between China, India and the Mediterranean were destroyed with their merchant capital, records and populations.</t>
  </si>
  <si>
    <t>Merv and Nishapur annihilated</t>
  </si>
  <si>
    <t>Central Asia / Persia</t>
  </si>
  <si>
    <t>The destruction was thorough enough to be visible in irrigation and settlement archaeology centuries later. Overland trade finance had to be rebuilt from nothing under Mongol terms.</t>
  </si>
  <si>
    <t>Jin dynasty paper currency collapses</t>
  </si>
  <si>
    <t>Hyperinflation</t>
  </si>
  <si>
    <t>North China</t>
  </si>
  <si>
    <t>The Jin financed their defence against the Mongols by printing. The currency became worthless and was repeatedly reissued under new names at ever-worse rates - a full paper-money hyperinflation, a century before the Yuan repeated it.</t>
  </si>
  <si>
    <t>Mongol ortoq partnerships institutionalised</t>
  </si>
  <si>
    <t>Mongol Empire</t>
  </si>
  <si>
    <t>Mongol princes placed state capital with merchant associations under profit-sharing contracts, at rates that were often ruinous for the borrowers beneath them. State-directed commercial finance across the largest contiguous empire in history.</t>
  </si>
  <si>
    <t>Louis IX's ransom after Mansurah</t>
  </si>
  <si>
    <t>France / Egypt</t>
  </si>
  <si>
    <t>Around 400,000 livres, raised partly by seizing Templar deposits held in Acre. Even the King's own bankers were not safe from the King.</t>
  </si>
  <si>
    <t>FLORIN AND GENOVINO MINTED - Europe returns to gold</t>
  </si>
  <si>
    <t>Florence / Genoa</t>
  </si>
  <si>
    <t>The first substantial gold coinage struck in Western Europe since the Carolingians. The florin became the international unit of account for the Italian banking houses that would dominate the next century - and fail in the 1340s.</t>
  </si>
  <si>
    <t>HENRY III'S 'SICILIAN BUSINESS' - and default</t>
  </si>
  <si>
    <t>England / Papacy</t>
  </si>
  <si>
    <t>Henry III accepted the papal offer of the Sicilian crown for his son, undertaking to repay roughly 135,000 marks of papal war debt - several times his annual revenue, for a kingdom he never controlled. He defaulted. The Pope threatened excommunication and interdict.</t>
  </si>
  <si>
    <t>Henry III's gold penny fails</t>
  </si>
  <si>
    <t>Currency failure</t>
  </si>
  <si>
    <t>Struck at a value that undervalued its gold against silver, so it was immediately hoarded and melted. Withdrawn within a few years. A textbook mispriced bimetallic issue.</t>
  </si>
  <si>
    <t>SACK OF BAGHDAD; Provisions of Oxford; global famine year</t>
  </si>
  <si>
    <t>Systemic shock / Fiscal crisis</t>
  </si>
  <si>
    <t>Abbasid Caliphate / England / Global</t>
  </si>
  <si>
    <t>Hulagu destroyed Baghdad, ending the Abbasid Caliphate and with it the jahbadh banking network, the suftaja clearing system and five centuries of accumulated commercial capital. In England, the Sicilian default forced Henry III to accept baronial control of his finances under the Provisions of Oxford. The Samalas eruption of the previous year produced harvest failure and famine across Europe and the Middle East.</t>
  </si>
  <si>
    <t>VENICE CONSOLIDATES ITS DEBT INTO THE MONTE VECCHIO</t>
  </si>
  <si>
    <t>Venice</t>
  </si>
  <si>
    <t>Forced loans converted into a permanent funded debt paying 5%, with transferable claims and a secondary market in which prices moved on war news. The first genuine government bond market in Europe.</t>
  </si>
  <si>
    <t>Barons' War; English royal credit collapses</t>
  </si>
  <si>
    <t>Fiscal crisis</t>
  </si>
  <si>
    <t>The Crown could not borrow; Italian merchants withdrew. Royal finances were administered by the baronial council.</t>
  </si>
  <si>
    <t>Charles of Anjou's conquest of Sicily on Florentine credit</t>
  </si>
  <si>
    <t>Italy / France</t>
  </si>
  <si>
    <t>Papal and Florentine bankers financed the campaign against the Hohenstaufen. Florentine banking's rise was built on lending to the winners of papal politics - and on the assumption that popes and kings repay.</t>
  </si>
  <si>
    <t>Louis IX moves against Lombard and Cahorsin lenders</t>
  </si>
  <si>
    <t>Regulatory / Expropriation</t>
  </si>
  <si>
    <t>France</t>
  </si>
  <si>
    <t>Italian and Cahorsin moneylenders were expelled or fined heavily. Expulsion followed by asset seizure had become a routine instrument of royal finance across Europe.</t>
  </si>
  <si>
    <t>Second Council of Lyons tightens usury prohibition</t>
  </si>
  <si>
    <t>Foreign usurers were to be expelled and their leases void. In practice it pushed lending further into exchange contracts and disguised interest.</t>
  </si>
  <si>
    <t>Statute of the Jewry</t>
  </si>
  <si>
    <t>English Jews were barred from lending at interest - their only permitted livelihood - while remaining liable to tallage. It made the community fiscally worthless to the Crown, which is the immediate context for what followed in 1290.</t>
  </si>
  <si>
    <t>Battle of Meloria ruins Pisa; Venice mints the ducat</t>
  </si>
  <si>
    <t>Systemic shock / Milestone</t>
  </si>
  <si>
    <t>Pisa / Venice</t>
  </si>
  <si>
    <t>Pisa's fleet and mercantile capital were destroyed by Genoa and the city never recovered as a financial centre. In the same year Venice began striking the ducat, which held its standard unchanged for over five hundred years - the longest-lived stable coin in history.</t>
  </si>
  <si>
    <t>YUAN CURRENCY DEVALUATION - the Zhiyuan chao</t>
  </si>
  <si>
    <t>Currency devaluation</t>
  </si>
  <si>
    <t>The Zhongtong note had depreciated badly, so the Yuan issued a new note exchangeable at one for five - an official 80% devaluation. The pattern of reissuing at a worse rate rather than restoring convertibility continued until the currency collapsed entirely in the 1350s.</t>
  </si>
  <si>
    <t>EXPULSION OF THE JEWS FROM ENGLAND</t>
  </si>
  <si>
    <t>Edward I expelled the entire community, seized their houses and bonds, and had the Crown collect the debts owed to them. Parliament granted him a large tax in return. A sovereign extinguishing its own creditors and inheriting their receivables - the model Philip IV followed in France in 1306.</t>
  </si>
  <si>
    <t>Fall of Acre</t>
  </si>
  <si>
    <t>Levant / Italy</t>
  </si>
  <si>
    <t>The last Crusader port fell. Italian merchant houses lost their Levantine base and the military orders lost their remaining eastern deposits, pushing the Templars' operations back into France and into Philip IV's reach.</t>
  </si>
  <si>
    <t>EDWARD I DEFAULTS AND DESTROYS THE RICCARDI; Gaykhatu's paper money fails</t>
  </si>
  <si>
    <t>Sovereign default / Currency failure</t>
  </si>
  <si>
    <t>England / Lucca / Ilkhanate</t>
  </si>
  <si>
    <t>War with France led Edward I to seize the assets of the Riccardi of Lucca, his bankers for twenty years, and repudiate what he owed them. The firm - among the largest in Europe - was destroyed. It is the exact precedent for Edward III and the Bardi fifty years later, and nobody learned from it. In the same year the Ilkhanate attempted to introduce Chinese-style paper currency in Tabriz; the bazaars simply shut, trade stopped, and the experiment was abandoned within about two months.</t>
  </si>
  <si>
    <t>Alauddin Khalji's Devagiri treasure reaches Delhi</t>
  </si>
  <si>
    <t>Bullion shock</t>
  </si>
  <si>
    <t>Delhi Sultanate (India)</t>
  </si>
  <si>
    <t>An enormous influx of looted gold and silver financed the seizure of the Delhi throne and a decade of military expansion, and contributed to the price pressures the Sultan later tried to control by decree.</t>
  </si>
  <si>
    <t>EININ TOKUSEI EDICT - debts of the shogun's vassals voided</t>
  </si>
  <si>
    <t>Debt repudiation</t>
  </si>
  <si>
    <t>Japan</t>
  </si>
  <si>
    <t>The Kamakura shogunate cancelled its vassals' debts and voided past sales of their land, to relieve gokenin impoverished by the Mongol invasions. Lending to the warrior class stopped immediately; the edict was substantially withdrawn within a year. The clearest medieval demonstration that debt relief by fiat destroys the credit it is meant to restore.</t>
  </si>
  <si>
    <t>GRAN TAVOLA OF THE BONSIGNORI COLLAPSES</t>
  </si>
  <si>
    <t>Siena / Europe</t>
  </si>
  <si>
    <t>The largest bank in Europe failed - papal bankers, lenders to the French crown, with branches across France and England. Partner disputes, the withdrawal of papal business and unrecoverable sovereign loans brought it down. Sienese banking supremacy ended permanently and creditors pursued the partners' heirs for decades.</t>
  </si>
  <si>
    <t>Bonsignori aftermath; papal banking moves to Florence</t>
  </si>
  <si>
    <t>Structural shift</t>
  </si>
  <si>
    <t>Siena / Florence</t>
  </si>
  <si>
    <t>The papal account passed to the Florentine houses - the Bardi, Peruzzi and Acciaiuoli. Within fifty years all three had failed the same way the Bonsignori did, and for the same reason: lending to sovereigns.</t>
  </si>
  <si>
    <t>Medieval-Renaissance</t>
  </si>
  <si>
    <t>Philip IV's debasements ('le roi faux-monnayeur')</t>
  </si>
  <si>
    <t>Philip the Fair repeatedly cut the silver content of the French coinage to fund war with Flanders and England. Contemporaries called him a counterfeiter. Riots followed each recoinage.</t>
  </si>
  <si>
    <t>Expulsion of the Jews from France; seizure of assets and debts</t>
  </si>
  <si>
    <t>Philip IV expelled the Jewish community, confiscated their property and had the Crown collect the debts owed to them. A sovereign default executed through a minority.</t>
  </si>
  <si>
    <t>ARREST OF THE KNIGHTS TEMPLAR (Friday 13 October)</t>
  </si>
  <si>
    <t>France / Europe</t>
  </si>
  <si>
    <t>The Temple ran the largest deposit, transfer and lending network in Europe and was banker to the French Crown. Philip IV, deeply indebted to it, had the order arrested overnight and its treasure seized. The destruction of Europe's first international banking network by the state.</t>
  </si>
  <si>
    <t>Templar order suppressed; assets transferred</t>
  </si>
  <si>
    <t>The Council of Vienne dissolved the order; assets nominally went to the Hospitallers, in practice much stayed with the crowns. Deposits were never returned.</t>
  </si>
  <si>
    <t>GREAT FAMINE begins</t>
  </si>
  <si>
    <t>Commodity crisis / Credit collapse</t>
  </si>
  <si>
    <t>Northern Europe</t>
  </si>
  <si>
    <t>Catastrophic harvest failures sent grain prices up several hundred per cent. Widespread hoarding and speculation; mass default on rents and loans; an estimated 10-15% of the population died over three years.</t>
  </si>
  <si>
    <t>Great Famine continues; grain speculation and hoarding</t>
  </si>
  <si>
    <t>Price controls were attempted and abandoned across England, France and Flanders. Peasant credit collapsed permanently in many regions.</t>
  </si>
  <si>
    <t>Great Famine ends; debt and tenancy dislocation</t>
  </si>
  <si>
    <t>Credit crisis</t>
  </si>
  <si>
    <t>Land changed hands en masse through distressed sale and foreclosure.</t>
  </si>
  <si>
    <t>SCALI BANK OF FLORENCE COLLAPSES</t>
  </si>
  <si>
    <t>Florence</t>
  </si>
  <si>
    <t>The Scali were among the largest Florentine houses. Villani records the failure as a shock to the city's credit - the first great Florentine banking collapse and a warning ignored twenty years later.</t>
  </si>
  <si>
    <t>Muhammad bin Tughlaq introduces token currency</t>
  </si>
  <si>
    <t>Currency experiment</t>
  </si>
  <si>
    <t>The Sultan issued brass and copper tokens declared equal in value to silver tankas, an early attempt at fiat money, to fund campaigns and an over-ambitious treasury.</t>
  </si>
  <si>
    <t>Mass counterfeiting of Tughlaq token coinage</t>
  </si>
  <si>
    <t>Currency collapse / Fraud</t>
  </si>
  <si>
    <t>Because the tokens carried no security features, households minted them at home. Contemporary chroniclers describe every Hindu household becoming a mint. Good coin vanished; the token became worthless in trade.</t>
  </si>
  <si>
    <t>Tughlaq token currency withdrawn; treasury drained</t>
  </si>
  <si>
    <t>The Sultan redeemed the tokens in gold and silver at face value. Barani records mountains of worthless copper outside the treasury at Tughlaqabad. One of history's most complete monetary failures, and the clearest medieval demonstration of Gresham's law.</t>
  </si>
  <si>
    <t>Edward III suspends payments to his Florentine bankers</t>
  </si>
  <si>
    <t>England / Florence</t>
  </si>
  <si>
    <t>The opening of the Hundred Years War was financed by Florentine loans against wool revenues that never materialised. The King simply stopped paying.</t>
  </si>
  <si>
    <t>Florentine banking crisis begins</t>
  </si>
  <si>
    <t>Banking crisis</t>
  </si>
  <si>
    <t>English default plus a Neapolitan bond run began pulling deposits out of the Florentine houses.</t>
  </si>
  <si>
    <t>Bonaccorsi, Cocchi, Antellesi, Corsini, da Uzzano and Perendoli all fail</t>
  </si>
  <si>
    <t>Six substantial Florentine banks failed in a single year. Villani, himself a Peruzzi employee, chronicled the sequence from inside it.</t>
  </si>
  <si>
    <t>PERUZZI BANK FAILS</t>
  </si>
  <si>
    <t>Florence / Europe</t>
  </si>
  <si>
    <t>The second-largest bank in Europe. It had lent Edward III sums vastly exceeding its capital against future wool customs. Contagion spread across Italy, Flanders and England.</t>
  </si>
  <si>
    <t>Acciaiuoli fails; the crisis deepens</t>
  </si>
  <si>
    <t>The third of the great houses went down. Florence's public debt was restructured and the city entered depression.</t>
  </si>
  <si>
    <t>BARDI BANK FAILS - the greatest bank in Europe</t>
  </si>
  <si>
    <t>The Bardi's collapse completed the destruction of 14th-century international banking. Villani put the combined Bardi and Peruzzi losses at roughly 1.4m florins - he called it a ruin greater than any Florence had known. Concentrated sovereign exposure with no capital buffer: the same failure mode as 1890 Barings and 1982 Latin America.</t>
  </si>
  <si>
    <t>BLACK DEATH</t>
  </si>
  <si>
    <t>Europe / Asia / North Africa</t>
  </si>
  <si>
    <t>Roughly a third of Europe died. Debts, rents, annuities and partnerships were voided by mass mortality; courts and merchant houses could not identify heirs. Interest rates, wages and land values were permanently repriced.</t>
  </si>
  <si>
    <t>Black Death continues; contractual and inheritance chaos</t>
  </si>
  <si>
    <t>Credit markets ceased functioning in much of Italy, France and England. Bullion hoarding became universal.</t>
  </si>
  <si>
    <t>Post-plague wage and price shock; labour legislation</t>
  </si>
  <si>
    <t>Structural repricing</t>
  </si>
  <si>
    <t>Wages rose sharply against a collapsed labour supply. England's Statute of Labourers attempted price control and failed. Land rents fell for a century.</t>
  </si>
  <si>
    <t>Yuan dynasty paper money hyperinflation</t>
  </si>
  <si>
    <t>The Yuan financed rebellion suppression by printing chao notes without reserve. The currency became worthless, contributing directly to the dynasty's fall in 1368. The first documented paper-money hyperinflation.</t>
  </si>
  <si>
    <t>Plague recurrence ('pestis secunda')</t>
  </si>
  <si>
    <t>A second wave struck the young and hit commercial families hardest.</t>
  </si>
  <si>
    <t>War of the Eight Saints; Florentine forced loans</t>
  </si>
  <si>
    <t>Compulsory subscription to the Monte Comune at punitive terms. Monte shares traded at a deep discount to par - an early example of a distressed sovereign debt market.</t>
  </si>
  <si>
    <t>Ciompi revolt</t>
  </si>
  <si>
    <t>Fiscal / Social</t>
  </si>
  <si>
    <t>A rising driven substantially by debt and tax burdens; the rebels demanded relief on the public debt.</t>
  </si>
  <si>
    <t>English Peasants' Revolt</t>
  </si>
  <si>
    <t>Triggered by the third poll tax in four years and its evasion by the wealthy.</t>
  </si>
  <si>
    <t>GREAT BULLION FAMINE begins</t>
  </si>
  <si>
    <t>European silver mines were exhausted and bullion drained east to pay for spices and silk. The money supply contracted severely for a generation.</t>
  </si>
  <si>
    <t>Bullion famine deepens; mints fall idle</t>
  </si>
  <si>
    <t>Monetary contraction / Deflation</t>
  </si>
  <si>
    <t>Mint output collapsed across England, France and the Low Countries. Prolonged deflation; debtors were crushed and trade reverted to barter in places.</t>
  </si>
  <si>
    <t>Bullion famine at its worst</t>
  </si>
  <si>
    <t>Chronic coin shortage across Western Europe. Bills of exchange and ledger clearing expanded largely as a workaround.</t>
  </si>
  <si>
    <t>Bullion famine persists</t>
  </si>
  <si>
    <t>Repeated debasements across the Low Countries and France as rulers tried to attract scarce silver to their mints.</t>
  </si>
  <si>
    <t>Bullion famine begins to ease</t>
  </si>
  <si>
    <t>New central European mining slowly restored coin supply.</t>
  </si>
  <si>
    <t>Florentine Monte Comune trades at deep discount</t>
  </si>
  <si>
    <t>Sovereign debt distress</t>
  </si>
  <si>
    <t>Public debt shares changed hands well below par with a large gap between market price and the fiction of face value in the tax registers.</t>
  </si>
  <si>
    <t>MING PAPER CURRENCY COLLAPSES</t>
  </si>
  <si>
    <t>The Da-Ming Baochao note, issued without convertibility or redemption, had fallen to roughly 2% of its face value. The state kept accepting it for taxes at par while refusing to redeem it.</t>
  </si>
  <si>
    <t>Kakitsu tokusei - mass debt cancellation</t>
  </si>
  <si>
    <t>After an armed uprising, the Ashikaga shogunate issued a 'virtuous government' edict voiding debts wholesale. Pawnbrokers and moneylenders were ruined; such edicts recurred for a century and destroyed Japanese credit markets.</t>
  </si>
  <si>
    <t>Ming abandons paper money; reversion to silver</t>
  </si>
  <si>
    <t>Monetary regime change</t>
  </si>
  <si>
    <t>China gave up on fiat paper for four centuries and moved onto an uncoined silver standard, which drew in American and Japanese silver for the next 300 years.</t>
  </si>
  <si>
    <t>Fall of Constantinople</t>
  </si>
  <si>
    <t>Genoa / Venice</t>
  </si>
  <si>
    <t>Genoese and Venetian merchant capital in the Levant was destroyed or stranded. Trade routes and the credit built on them were rerouted.</t>
  </si>
  <si>
    <t>SECOND BULLION FAMINE begins</t>
  </si>
  <si>
    <t>The most severe coin shortage of the Middle Ages. Mints across England and the Low Countries produced almost nothing.</t>
  </si>
  <si>
    <t>Bullion famine at its depth; European deflation</t>
  </si>
  <si>
    <t>Sustained deflation, defaults on fixed money rents, and widespread commercial contraction.</t>
  </si>
  <si>
    <t>Taula de Canvi de Barcelona suspends payments</t>
  </si>
  <si>
    <t>Aragon (Spain)</t>
  </si>
  <si>
    <t>The public bank failed under the strain of the Catalan civil war and had to be reconstructed.</t>
  </si>
  <si>
    <t>Medici Bank Bruges branch losses under Portinari</t>
  </si>
  <si>
    <t>Bank mismanagement</t>
  </si>
  <si>
    <t>Florence / Burgundy</t>
  </si>
  <si>
    <t>Tommaso Portinari lent heavily to Charles the Bold against instructions from Florence. The head office's controls over its branch managers had broken down.</t>
  </si>
  <si>
    <t>Pazzi conspiracy; Pazzi Bank destroyed; Medici London branch closed</t>
  </si>
  <si>
    <t>Bank failure / Political</t>
  </si>
  <si>
    <t>Florence / England</t>
  </si>
  <si>
    <t>The Pazzi Bank was liquidated and its partners executed or exiled after the plot against the Medici. In the same period the Medici London branch was wound up after Edward IV defaulted on roughly GBP 10,500 of loans.</t>
  </si>
  <si>
    <t>Medici Bank near-insolvency</t>
  </si>
  <si>
    <t>Lorenzo was drawing on the Florentine public purse to cover the bank's losses. Branch after branch had been lent into sovereign and princely exposures it could not carry.</t>
  </si>
  <si>
    <t>Expulsion of the Jews from Spain; forced asset sales</t>
  </si>
  <si>
    <t>Spain</t>
  </si>
  <si>
    <t>Property was liquidated at distressed prices and capital was not permitted to leave in coin. A large transfer of wealth to the Crown and to buyers, and a lasting loss of financial expertise to Spain.</t>
  </si>
  <si>
    <t>MEDICI BANK COLLAPSES; French invasion of Italy</t>
  </si>
  <si>
    <t>Florence / Italy</t>
  </si>
  <si>
    <t>The Medici were expelled and the bank's assets seized. Charles VIII's invasion opened sixty years of war that would bankrupt every major crown in Europe. The same year, Luca Pacioli's 'Summa' codified double-entry bookkeeping - the accounting system that made later frauds both possible and detectable.</t>
  </si>
  <si>
    <t>VENETIAN BANK PANIC - Garzoni and Lippomano fail</t>
  </si>
  <si>
    <t>Defeat by the Ottomans triggered a run on the Rialto banks. Two of Venice's principal private banks failed within months; the state intervened to support the survivors.</t>
  </si>
  <si>
    <t>Fugger loan buys the imperial election</t>
  </si>
  <si>
    <t>Political finance / Corruption</t>
  </si>
  <si>
    <t>Augsburg / Holy Roman Empire</t>
  </si>
  <si>
    <t>Jakob Fugger advanced around 850,000 florins to bribe the electors to choose Charles V over Francis I. Fugger's later letter reminding the Emperor that without him 'Your Majesty might not have acquired the imperial crown' is the frankest surviving statement of banker-sovereign leverage.</t>
  </si>
  <si>
    <t>Imperial Diet monopoly proceedings against the Fuggers</t>
  </si>
  <si>
    <t>Regulatory / Antitrust</t>
  </si>
  <si>
    <t>Holy Roman Empire</t>
  </si>
  <si>
    <t>The Diet moved against the great trading companies for cornering copper, silver and spices. Charles V, deep in Fugger debt, killed the proceedings. An early and unsuccessful antitrust action.</t>
  </si>
  <si>
    <t>German Peasants' War; anti-banker agitation</t>
  </si>
  <si>
    <t>Social / Political</t>
  </si>
  <si>
    <t>Monopoly pricing by the Augsburg houses was among the grievances. Luther wrote against the trading companies and against usury in the same period.</t>
  </si>
  <si>
    <t>SACK OF ROME; Roman banking houses ruined</t>
  </si>
  <si>
    <t>Rome</t>
  </si>
  <si>
    <t>Mutinous unpaid Imperial troops sacked the city. The papal financial market, the Roman branches of the Florentine and Genoese houses, and the market in curial offices were all destroyed. Several banks never reopened.</t>
  </si>
  <si>
    <t>HOCHSTETTER OF AUGSBURG COLLAPSES</t>
  </si>
  <si>
    <t>Corner / Deposit fraud</t>
  </si>
  <si>
    <t>Augsburg</t>
  </si>
  <si>
    <t>Ambrosius Hochstetter attempted to corner the European mercury and quicksilver market, funding it with high-interest deposits taken from ordinary Augsburg citizens, servants and widows. The corner failed, the firm collapsed with enormous losses to small savers, and Hochstetter died in prison. A recognisably modern retail-funded speculative blowup.</t>
  </si>
  <si>
    <t>Price Revolution accelerates as American silver arrives</t>
  </si>
  <si>
    <t>Potosi and Zacatecas silver began flowing through Seville. Prices rose across Europe for a century; those on fixed rents and money incomes were steadily impoverished.</t>
  </si>
  <si>
    <t>GREAT DEBASEMENT begins (Henry VIII)</t>
  </si>
  <si>
    <t>To fund war with France and Scotland, the Crown cut silver in the coinage and pocketed the difference. The most systematic monetary fraud in English history.</t>
  </si>
  <si>
    <t>Great Debasement deepens</t>
  </si>
  <si>
    <t>Silver content fell towards a third of its former level. The exchange rate on Antwerp collapsed and import prices soared.</t>
  </si>
  <si>
    <t>Debasement at its worst; inflation and unrest</t>
  </si>
  <si>
    <t>Currency debasement / Inflation</t>
  </si>
  <si>
    <t>Coins were down to about a quarter silver; the copper showed through on the King's nose, hence 'Old Coppernose'. Kett's Rebellion and the western rising followed in the same year.</t>
  </si>
  <si>
    <t>Coinage cried down; commercial crisis</t>
  </si>
  <si>
    <t>Currency crisis</t>
  </si>
  <si>
    <t>The government abruptly halved the face value of the debased coin, triggering panic, hoarding and a sharp commercial contraction. Thomas Gresham was sent to Antwerp to manage the Crown's debts.</t>
  </si>
  <si>
    <t>Antwerp money market crisis</t>
  </si>
  <si>
    <t>Antwerp / England</t>
  </si>
  <si>
    <t>English royal borrowing on the Antwerp bourse became critically expensive; Gresham resorted to manipulating the exchange rate to service it.</t>
  </si>
  <si>
    <t>SPANISH AND FRENCH CROWNS DEFAULT - the first modern sovereign debt crisis</t>
  </si>
  <si>
    <t>Spain / France / Germany</t>
  </si>
  <si>
    <t>Philip II suspended payments and converted his short-term asientos into low-yielding perpetual juros. Weeks later the French Crown defaulted on the Grand Parti de Lyon. Two of Europe's largest borrowers failed within a year, on debt held by identifiable banking houses across the continent.</t>
  </si>
  <si>
    <t>Fugger and south German banking houses crippled</t>
  </si>
  <si>
    <t>Augsburg / Antwerp</t>
  </si>
  <si>
    <t>The Fuggers, Welsers and their peers had concentrated their books in Habsburg paper. The 1557 default began a decline from which German banking supremacy never recovered; leadership passed to the Genoese.</t>
  </si>
  <si>
    <t>Elizabethan recoinage begins</t>
  </si>
  <si>
    <t>The debased coin was called in and reminted at proper standard, at a deliberate loss to the Crown. One of the few clean monetary restorations in the period.</t>
  </si>
  <si>
    <t>Netherlands revolt begins; Antwerp credit disrupted</t>
  </si>
  <si>
    <t>Political / Credit crisis</t>
  </si>
  <si>
    <t>Low Countries</t>
  </si>
  <si>
    <t>The iconoclasm and Alva's arrival broke the confidence underpinning Europe's principal money market.</t>
  </si>
  <si>
    <t>Elizabeth I seizes the Genoese treasure ships at Plymouth</t>
  </si>
  <si>
    <t>England / Spain / Genoa</t>
  </si>
  <si>
    <t>English ports took in Spanish ships carrying roughly 400,000 florins of Genoese loan money bound for Alva's army; Elizabeth borrowed it herself. Spain seized English assets in retaliation, trade was embargoed and the Antwerp market was thrown into crisis.</t>
  </si>
  <si>
    <t>SECOND SPANISH BANKRUPTCY</t>
  </si>
  <si>
    <t>Spain / Genoa</t>
  </si>
  <si>
    <t>Philip II again suspended payments, this time repudiating the terms of his contracts with the Genoese bankers who had replaced the Germans. The bankers stopped lending; the bill network to Flanders froze.</t>
  </si>
  <si>
    <t>SPANISH FURY - the sack of Antwerp (4 November)</t>
  </si>
  <si>
    <t>Default consequence</t>
  </si>
  <si>
    <t>Antwerp</t>
  </si>
  <si>
    <t>Unpaid for months because of the 1575 default, the Army of Flanders mutinied and sacked Europe's richest city. Around 7,000 died and roughly 1,000 buildings burned. The most literal demonstration on record that sovereign defaults have physical consequences.</t>
  </si>
  <si>
    <t>Pisani-Tiepolo bank of Venice fails</t>
  </si>
  <si>
    <t>The last great Venetian private bank collapsed, having lent its depositors' money to the Venetian state and to grain speculators.</t>
  </si>
  <si>
    <t>Fall of Antwerp; capital migrates north</t>
  </si>
  <si>
    <t>Antwerp fell to Spain and the Scheldt was blockaded. Merchants, bankers and their capital moved to Amsterdam, seeding the market that would produce the VOC in 1602 and tulipmania in 1637.</t>
  </si>
  <si>
    <t>Italian grain crisis and famine</t>
  </si>
  <si>
    <t>Italy</t>
  </si>
  <si>
    <t>Harvest failure across the Mediterranean; northern grain merchants, chiefly Dutch, captured the trade permanently.</t>
  </si>
  <si>
    <t>THIRD SPANISH BANKRUPTCY</t>
  </si>
  <si>
    <t>Philip II's third suspension in forty years. American silver had funded a debt structure that silver could never service.</t>
  </si>
  <si>
    <t>Genoese restructuring of Spanish debt</t>
  </si>
  <si>
    <t>Sovereign restructuring</t>
  </si>
  <si>
    <t>Negotiations leading to the Medio General of 1598 - short-term asientos converted into long-dated juros at a heavy write-down. A recognisable sovereign debt exchange, four centuries before Argentina and Greece.</t>
  </si>
  <si>
    <t>Joint-stock era</t>
  </si>
  <si>
    <t>Isaac Le Maire bear syndicate against the VOC</t>
  </si>
  <si>
    <t>Manipulation / Fraud</t>
  </si>
  <si>
    <t>Netherlands</t>
  </si>
  <si>
    <t>First recorded organised short-selling attack and naked-short manipulation. Le Maire's 'Groote Compagnie' drove VOC shares down; he was ruined and disgraced.</t>
  </si>
  <si>
    <t>Kipper und Wipperzeit begins</t>
  </si>
  <si>
    <t>States and private mints systematically clipped and debased small coin to fund the Thirty Years War. A state-sponsored monetary fraud.</t>
  </si>
  <si>
    <t>Kipper und Wipperzeit spreads; Amsterdam Wisselbank founded</t>
  </si>
  <si>
    <t>Holy Roman Empire / Netherlands</t>
  </si>
  <si>
    <t>Debasement spreads across German states. The Wisselbank is founded partly as a defence against bad coin.</t>
  </si>
  <si>
    <t>Kipper und Wipperzeit intensifies</t>
  </si>
  <si>
    <t>Debased coin drives out good coin. Riots against mint-masters and money-changers.</t>
  </si>
  <si>
    <t>Kipper und Wipperzeit peak</t>
  </si>
  <si>
    <t>Currency debasement / Hyperinflation</t>
  </si>
  <si>
    <t>Silver content of small coin collapses; prices in some states rise eight to tenfold.</t>
  </si>
  <si>
    <t>Kipper und Wipperzeit peak year</t>
  </si>
  <si>
    <t>The worst year of the debasement. Widespread economic dislocation and popular violence.</t>
  </si>
  <si>
    <t>Kipper und Wipperzeit ends; currency reform</t>
  </si>
  <si>
    <t>Return to the 1559 Imperial coinage standard. Massive wealth transfer already completed.</t>
  </si>
  <si>
    <t>Tulip mania inflates</t>
  </si>
  <si>
    <t>Asset bubble</t>
  </si>
  <si>
    <t>Futures-style forward contracts in tulip bulbs traded in taverns ('windhandel'). Prices for rare bulbs reach multiples of a craftsman's annual income.</t>
  </si>
  <si>
    <t>TULIPMANIA CRASH (February)</t>
  </si>
  <si>
    <t>Bubble collapse</t>
  </si>
  <si>
    <t>The archetypal bubble. Bulb auctions failed in Haarlem in early February; the forward market collapsed within weeks. Courts later refused to enforce the contracts.</t>
  </si>
  <si>
    <t>Charles I seizes bullion in the Tower of London</t>
  </si>
  <si>
    <t>The King seized ~£130,000 of merchants' bullion held at the Mint. Destroyed trust in the Crown as a custodian and pushed deposits to goldsmith bankers.</t>
  </si>
  <si>
    <t>Dutch raid on the Medway; run on London goldsmiths</t>
  </si>
  <si>
    <t>Banking panic</t>
  </si>
  <si>
    <t>Military humiliation triggered a run on the goldsmith bankers of Lombard Street.</t>
  </si>
  <si>
    <t>STOP OF THE EXCHEQUER; Dutch 'Rampjaar'</t>
  </si>
  <si>
    <t>England / Netherlands</t>
  </si>
  <si>
    <t>Charles II suspended repayment of ~£1.2m owed to goldsmith bankers. Several were ruined and their depositors with them. Simultaneously, the Dutch 'Disaster Year' collapsed Amsterdam asset prices.</t>
  </si>
  <si>
    <t>London 'projecting age' promotion bubble peaks</t>
  </si>
  <si>
    <t>Roughly 140 joint-stock promotions (diving engines, patent schemes, mining ventures) floated in London. Most were shells.</t>
  </si>
  <si>
    <t>Recoinage crisis and collapse of the projecting bubble</t>
  </si>
  <si>
    <t>Currency / Bubble collapse</t>
  </si>
  <si>
    <t>The Great Recoinage produced a severe coin shortage; the Bank of England briefly suspended payments; most 1690s promotions became worthless.</t>
  </si>
  <si>
    <t>MISSISSIPPI BUBBLE inflates</t>
  </si>
  <si>
    <t>Compagnie des Indes shares rose from ~500 to ~10,000 livres in a year on paper-money issuance. The word 'millionaire' dates from this episode.</t>
  </si>
  <si>
    <t>SOUTH SEA BUBBLE + Mississippi collapse + Dutch windhandel</t>
  </si>
  <si>
    <t>UK / France / Netherlands</t>
  </si>
  <si>
    <t>The first genuinely international bubble and crash. South Sea stock ran £128 to £1,050 and back to £150. Law's system collapsed into hyperinflation of banknotes. The Bubble Act followed.</t>
  </si>
  <si>
    <t>Industrial / classical</t>
  </si>
  <si>
    <t>South Sea parliamentary inquiry and confiscations</t>
  </si>
  <si>
    <t>Scandal / Enforcement</t>
  </si>
  <si>
    <t>UK</t>
  </si>
  <si>
    <t>Cashier John Blunt exposed; Robert Knight fled abroad; Chancellor John Aislabie imprisoned in the Tower; directors' estates confiscated. Walpole's rise.</t>
  </si>
  <si>
    <t>Jacobite rising; run on the Bank of England</t>
  </si>
  <si>
    <t>The Bank paid out in sixpences to slow the run while it survived the march on London.</t>
  </si>
  <si>
    <t>AMSTERDAM CRISIS OF 1763</t>
  </si>
  <si>
    <t>Netherlands / Germany</t>
  </si>
  <si>
    <t>Failure of De Neufville brothers on Seven Years War commodity speculation and acceptance credit. Contagion to Hamburg, Berlin and Stockholm. Arguably the first international banking crisis.</t>
  </si>
  <si>
    <t>CREDIT CRISIS OF 1772; Ayr Bank collapse</t>
  </si>
  <si>
    <t>UK / Netherlands</t>
  </si>
  <si>
    <t>Neal, James, Fordyce &amp; Down failed in June on East India stock speculation. Douglas, Heron &amp; Co (the Ayr Bank) collapsed, ruining much of the Scottish gentry. The East India Company sought a state bailout.</t>
  </si>
  <si>
    <t>East India Company bailout; continued failures</t>
  </si>
  <si>
    <t>The Tea Act and EIC rescue followed. Contagion continued through Amsterdam and Scotland.</t>
  </si>
  <si>
    <t>Post-war credit contraction</t>
  </si>
  <si>
    <t>UK / USA</t>
  </si>
  <si>
    <t>Collapse of wartime trade credit after the American War.</t>
  </si>
  <si>
    <t>Assignats introduced</t>
  </si>
  <si>
    <t>Currency</t>
  </si>
  <si>
    <t>Land-backed paper currency that becomes the vehicle for revolutionary hyperinflation.</t>
  </si>
  <si>
    <t>PANIC OF 1792; William Duer scandal</t>
  </si>
  <si>
    <t>Panic / Fraud</t>
  </si>
  <si>
    <t>USA</t>
  </si>
  <si>
    <t>First American financial panic. Duer and Alexander Macomb cornered US debt and Bank of New York stock with borrowed money; Duer died in debtors' prison. Hamilton conducted the first US central-bank-style rescue. The Buttonwood Agreement founding the NYSE followed in May.</t>
  </si>
  <si>
    <t>Commercial crisis; ~100 English country banks fail</t>
  </si>
  <si>
    <t>War with France collapsed credit; roughly a third of country banks failed.</t>
  </si>
  <si>
    <t>Assignat hyperinflation peak</t>
  </si>
  <si>
    <t>Assignats fell to under 1% of face value; the currency was abandoned in 1796.</t>
  </si>
  <si>
    <t>PANIC OF 1796-97; US land speculation collapse</t>
  </si>
  <si>
    <t>USA / UK</t>
  </si>
  <si>
    <t>Frontier land bubble burst. Robert Morris, financier of the Revolution, went to debtors' prison.</t>
  </si>
  <si>
    <t>Bank of England suspends specie payments</t>
  </si>
  <si>
    <t>The Restriction Period begins (lasting to 1821). US deflation and bankruptcies continue.</t>
  </si>
  <si>
    <t>Hamburg commercial crisis</t>
  </si>
  <si>
    <t>Germany / Netherlands</t>
  </si>
  <si>
    <t>Failure of Hamburg merchant houses on colonial goods speculation; contagion to Scandinavia.</t>
  </si>
  <si>
    <t>British credit crisis</t>
  </si>
  <si>
    <t>UK / South America</t>
  </si>
  <si>
    <t>Collapse of the South American export boom that followed the opening of Spanish colonial trade.</t>
  </si>
  <si>
    <t>US bank suspensions</t>
  </si>
  <si>
    <t>War of 1812 financing forced most banks outside New England to suspend specie payments.</t>
  </si>
  <si>
    <t>Post-Napoleonic deflation</t>
  </si>
  <si>
    <t>Deflation / Depression</t>
  </si>
  <si>
    <t>UK / Europe</t>
  </si>
  <si>
    <t>Sharp commodity and land deflation after the wars, worsened by the 'year without a summer'.</t>
  </si>
  <si>
    <t>PANIC OF 1819</t>
  </si>
  <si>
    <t>Banking crisis / Depression</t>
  </si>
  <si>
    <t>First major American boom-bust cycle. The Second Bank of the US expanded then abruptly contracted credit; land prices collapsed; mass foreclosures and the first US depression.</t>
  </si>
  <si>
    <t>Poyais scheme launched</t>
  </si>
  <si>
    <t>Fraud</t>
  </si>
  <si>
    <t>Gregor MacGregor sold sovereign bonds and land grants in Poyais, a Central American country that did not exist.</t>
  </si>
  <si>
    <t>Poyais fraud exposed</t>
  </si>
  <si>
    <t>UK / Honduras</t>
  </si>
  <si>
    <t>Settlers arrived to find mangrove swamp; roughly two-thirds died. MacGregor was never convicted.</t>
  </si>
  <si>
    <t>Latin American loan and mining mania peaks</t>
  </si>
  <si>
    <t>London floated bonds and mining shares for the newly independent Latin American republics on almost no diligence.</t>
  </si>
  <si>
    <t>PANIC OF 1825</t>
  </si>
  <si>
    <t>Banking crisis / Bubble collapse</t>
  </si>
  <si>
    <t>UK / Latin America</t>
  </si>
  <si>
    <t>Latin American loans defaulted; 70-plus English banks failed; the Bank of England came within days of suspension and was saved by a bullion loan from the Banque de France. Often called the first modern financial crisis.</t>
  </si>
  <si>
    <t>US Bank War</t>
  </si>
  <si>
    <t>Political / Banking</t>
  </si>
  <si>
    <t>Jackson vetoed the Second Bank's recharter, removing the closest thing the US had to a central bank.</t>
  </si>
  <si>
    <t>US land bubble peak; Specie Circular</t>
  </si>
  <si>
    <t>Public land sales exploded on bank paper. The Specie Circular required gold or silver payment, puncturing the boom.</t>
  </si>
  <si>
    <t>PANIC OF 1837</t>
  </si>
  <si>
    <t>343 of 850 US banks failed or suspended. A six-year depression followed. Triggered by cotton price collapse, Bank of England tightening and the land bubble bursting.</t>
  </si>
  <si>
    <t>PANIC OF 1839; US state defaults</t>
  </si>
  <si>
    <t>A second leg down. Nine US states and territories eventually defaulted on canal and railroad bonds, wiping out British investors.</t>
  </si>
  <si>
    <t>US state debt repudiation</t>
  </si>
  <si>
    <t>Pennsylvania, Mississippi, Maryland, Indiana and others defaulted or repudiated. Sydney Smith's famous public denunciation of American debtors.</t>
  </si>
  <si>
    <t>RAILWAY MANIA peak</t>
  </si>
  <si>
    <t>Over 250 railway acts in a single session; railway shares were roughly a tenth of UK national income. Partly-paid shares let small investors leverage enormously.</t>
  </si>
  <si>
    <t>Railway Mania collapse begins</t>
  </si>
  <si>
    <t>Calls on partly-paid shares arrived as prices fell; middle-class investors were bankrupted en masse.</t>
  </si>
  <si>
    <t>COMMERCIAL CRISIS OF 1847</t>
  </si>
  <si>
    <t>Grain speculation failures plus railway calls. The Bank Charter Act was suspended in October. Numerous discount houses and merchant banks failed.</t>
  </si>
  <si>
    <t>Revolutions of 1848; European market disruption</t>
  </si>
  <si>
    <t>Political / Market</t>
  </si>
  <si>
    <t>Bourses closed or collapsed across the continent; sovereign credit repriced.</t>
  </si>
  <si>
    <t>George Hudson, the 'Railway King', exposed</t>
  </si>
  <si>
    <t>Accounting fraud</t>
  </si>
  <si>
    <t>Hudson had paid dividends out of capital and falsified accounts across his railway empire. Britain's first great corporate accounting scandal; it drove the case for statutory audit.</t>
  </si>
  <si>
    <t>Royal British Bank collapse</t>
  </si>
  <si>
    <t>Bank fraud</t>
  </si>
  <si>
    <t>Failed after directors lent themselves the deposits and falsified accounts. Directors convicted of conspiracy.</t>
  </si>
  <si>
    <t>PANIC OF 1857</t>
  </si>
  <si>
    <t>USA / Europe</t>
  </si>
  <si>
    <t>Failure of the Ohio Life Insurance &amp; Trust Co in August; contagion moved by telegraph and steamship to Britain and Hamburg. Widely regarded as the first worldwide financial crisis.</t>
  </si>
  <si>
    <t>US Civil War financing; specie suspension</t>
  </si>
  <si>
    <t>Banks suspended specie payments in December; greenbacks were issued from 1862.</t>
  </si>
  <si>
    <t>Bombay Share Mania inflates</t>
  </si>
  <si>
    <t>India</t>
  </si>
  <si>
    <t>The American Civil War cut off US cotton; Bombay cotton exports and share promotions boomed. Premchand Roychand drove a mania in bank, reclamation and financial-association shares.</t>
  </si>
  <si>
    <t>Bombay Back Bay Reclamation bubble peaks; US gold panic</t>
  </si>
  <si>
    <t>India / USA</t>
  </si>
  <si>
    <t>Back Bay Reclamation shares traded at enormous premiums. In New York, gold speculation forced the repeal of the Gold Act.</t>
  </si>
  <si>
    <t>BOMBAY SHARE MANIA CRASH; Bank of Bombay ruined</t>
  </si>
  <si>
    <t>The US war ended, cotton prices collapsed and Bombay share prices fell over 90%. The Bank of Bombay was destroyed by loans against its own shares and was wound up in 1868. India's first great market crash.</t>
  </si>
  <si>
    <t>OVEREND, GURNEY &amp; CO COLLAPSE (Black Friday, 11 May)</t>
  </si>
  <si>
    <t>The largest discount house in the world failed with £11m of liabilities after reckless lending. Bank Rate went to 10%; the Bank Charter Act was suspended. The last true run on a British bank until Northern Rock in 2007.</t>
  </si>
  <si>
    <t>Erie War</t>
  </si>
  <si>
    <t>Market manipulation</t>
  </si>
  <si>
    <t>Daniel Drew, Jay Gould and Jim Fisk printed watered Erie Railroad stock to defeat Vanderbilt's takeover, then bribed the New York legislature to legalise it.</t>
  </si>
  <si>
    <t>BLACK FRIDAY (24 September); Gould-Fisk gold corner</t>
  </si>
  <si>
    <t>Gould and Fisk cornered the New York gold market, using a relative of President Grant for access. Treasury gold sales broke the corner and destroyed hundreds of firms in minutes.</t>
  </si>
  <si>
    <t>CREDIT MOBILIER OF AMERICA scandal</t>
  </si>
  <si>
    <t>Corruption / Fraud</t>
  </si>
  <si>
    <t>Union Pacific insiders overcharged their own railroad through a captive construction company and distributed shares to congressmen. Implicated the Vice President and a future President.</t>
  </si>
  <si>
    <t>PANIC OF 1873; Vienna Krach; Long Depression begins</t>
  </si>
  <si>
    <t>Austria / Germany / USA</t>
  </si>
  <si>
    <t>The Vienna bourse crashed in May after the Gruenderzeit promotion boom; Jay Cooke &amp; Co failed in September on Northern Pacific bonds; the NYSE closed for ten days. A depression followed lasting into the 1890s.</t>
  </si>
  <si>
    <t>CITY OF GLASGOW BANK collapse</t>
  </si>
  <si>
    <t>Directors falsified the balance sheet for years to hide huge losses on Australian and American ventures. Unlimited liability ruined 85% of shareholders. Directors were jailed; the case drove the shift to limited liability and independent audit.</t>
  </si>
  <si>
    <t>Union Generale crash (Paris)</t>
  </si>
  <si>
    <t>Bontoux's bank collapsed in January after ramping its own shares; the Paris Bourse required a Banque de France rescue. Zola's 'L'Argent' is based on it.</t>
  </si>
  <si>
    <t>PANIC OF 1884; Grant &amp; Ward fraud</t>
  </si>
  <si>
    <t>Ponzi / Panic</t>
  </si>
  <si>
    <t>Ferdinand Ward, the 'Young Napoleon of Wall Street', ran a Ponzi scheme using ex-President Grant's name; Marine National Bank failed. Grant was left destitute.</t>
  </si>
  <si>
    <t>Comptoir d'Escompte failure; Secretan copper corner collapse</t>
  </si>
  <si>
    <t>Corner / Banking crisis</t>
  </si>
  <si>
    <t>The Societe des Metaux copper corner collapsed, taking down France's second-largest bank. Its manager shot himself.</t>
  </si>
  <si>
    <t>BARING CRISIS (November)</t>
  </si>
  <si>
    <t>UK / Argentina</t>
  </si>
  <si>
    <t>Barings was insolvent on Argentine and Uruguayan debt. The Bank of England organised a £17m guarantee consortium - the first modern too-big-to-fail lifeboat.</t>
  </si>
  <si>
    <t>PANAMA CANAL COMPANY scandal</t>
  </si>
  <si>
    <t>The Panama company collapsed with 800,000 investors wiped out; it emerged that some 150 deputies and ministers had been bribed to conceal it. The largest corruption scandal of the 19th century.</t>
  </si>
  <si>
    <t>PANIC OF 1893; Australian banking crisis</t>
  </si>
  <si>
    <t>USA / Australia</t>
  </si>
  <si>
    <t>US railroad overbuilding and the silver question triggered over 500 bank and 15,000 business failures. In Australia, 11 of 22 commercial banks suspended after the 1880s land boom collapsed.</t>
  </si>
  <si>
    <t>US gold reserve crisis; Morgan syndicate rescue</t>
  </si>
  <si>
    <t>Sovereign / Banking</t>
  </si>
  <si>
    <t>The Treasury's gold reserve fell below $50m. J.P. Morgan and August Belmont privately underwrote a bond issue to refill it, to considerable public anger.</t>
  </si>
  <si>
    <t>NORTHERN PACIFIC CORNER panic (9 May)</t>
  </si>
  <si>
    <t>Corner / Panic</t>
  </si>
  <si>
    <t>Harriman and Hill-Morgan both bought control of Northern Pacific; shorts were squeezed from $170 to $1,000. The scramble to raise cash crashed the rest of the market.</t>
  </si>
  <si>
    <t>'Rich Man's Panic'</t>
  </si>
  <si>
    <t>Market correction</t>
  </si>
  <si>
    <t>Overpromoted trust flotations unwound; the Dow fell about 30% over the year.</t>
  </si>
  <si>
    <t>PANIC OF 1907</t>
  </si>
  <si>
    <t>Heinze and Morse's failed corner in United Copper triggered runs on associated trust companies, notably the Knickerbocker Trust. J.P. Morgan personally organised the rescue. The episode led directly to the Federal Reserve Act.</t>
  </si>
  <si>
    <t>Pujo Committee 'Money Trust' investigation</t>
  </si>
  <si>
    <t>Regulatory / Political</t>
  </si>
  <si>
    <t>Congressional inquiry into concentration of financial control; laid the groundwork for the Fed and the Clayton Act.</t>
  </si>
  <si>
    <t>Wars &amp; Bretton Woods</t>
  </si>
  <si>
    <t>Outbreak of WWI; global exchange closures</t>
  </si>
  <si>
    <t>Market shutdown</t>
  </si>
  <si>
    <t>Global</t>
  </si>
  <si>
    <t>The NYSE closed for over four months, the LSE for five - the longest closures in their history. A near-total collapse of the international payments system.</t>
  </si>
  <si>
    <t>Bolshevik repudiation of Tsarist debt</t>
  </si>
  <si>
    <t>Russia</t>
  </si>
  <si>
    <t>The largest sovereign repudiation to that date; French retail bondholders were the biggest losers.</t>
  </si>
  <si>
    <t>PONZI SCHEME collapses (August); Depression of 1920-21 begins</t>
  </si>
  <si>
    <t>Ponzi fraud / Depression</t>
  </si>
  <si>
    <t>Charles Ponzi's Securities Exchange Company promised 50% in 45 days on postal reply coupons. He took in roughly $20m from 40,000 people. The name stuck to the structure forever. A severe deflationary depression began the same year.</t>
  </si>
  <si>
    <t>Deflationary depression; Weimar inflation accelerates</t>
  </si>
  <si>
    <t>Deflation / Inflation</t>
  </si>
  <si>
    <t>USA / Germany</t>
  </si>
  <si>
    <t>US wholesale prices fell about 37%. In Germany, reparations financing began the slide into hyperinflation.</t>
  </si>
  <si>
    <t>Teapot Dome scandal surfaces</t>
  </si>
  <si>
    <t>Corruption</t>
  </si>
  <si>
    <t>Secretary of the Interior Fall took bribes to lease naval oil reserves. The defining US corruption scandal before Watergate.</t>
  </si>
  <si>
    <t>WEIMAR HYPERINFLATION peak (November)</t>
  </si>
  <si>
    <t>Germany</t>
  </si>
  <si>
    <t>The mark reached 4.2 trillion to the dollar. Savings, bonds and mortgages were annihilated; the Rentenmark reform ended it in November.</t>
  </si>
  <si>
    <t>Florida land boom peak</t>
  </si>
  <si>
    <t>Binder-boy speculation on undeveloped Florida lots; plots traded several times a day on 10% deposits.</t>
  </si>
  <si>
    <t>Florida land bust</t>
  </si>
  <si>
    <t>New buyers vanished, then the September Miami hurricane finished it. A dress rehearsal for 1929.</t>
  </si>
  <si>
    <t>Investment-trust and margin mania</t>
  </si>
  <si>
    <t>Leveraged, pyramided investment trusts (Goldman Sachs Trading Corp being the notorious case) and margin debt exploded.</t>
  </si>
  <si>
    <t>WALL STREET CRASH (Black Thursday 24 Oct, Black Tuesday 29 Oct)</t>
  </si>
  <si>
    <t>Bubble collapse / Fraud</t>
  </si>
  <si>
    <t>The defining crash. Also the year of the Clarence Hatry fraud in London (September, forged share certificates, a trigger for the US selloff) and of Albert Wiggin of Chase shorting his own bank's stock during the crash.</t>
  </si>
  <si>
    <t>Bank of United States fails (December)</t>
  </si>
  <si>
    <t>The largest US bank failure to that date, with 400,000 depositors. The first of three waves of banking panics.</t>
  </si>
  <si>
    <t>CREDITANSTALT COLLAPSE (May); UK leaves the gold standard</t>
  </si>
  <si>
    <t>Austria / Germany / UK</t>
  </si>
  <si>
    <t>Austria's largest bank failed, triggering the German banking crisis of July and the sterling crisis of September. The moment the Depression became a global financial catastrophe.</t>
  </si>
  <si>
    <t>IVAR KREUGER fraud and suicide (March); Insull collapse; market bottom</t>
  </si>
  <si>
    <t>Corporate fraud</t>
  </si>
  <si>
    <t>Sweden / USA</t>
  </si>
  <si>
    <t>The 'Match King' had built a global empire on forged Italian government bonds and circular financing; the losses were the largest corporate fraud to that date. Samuel Insull's utility pyramid collapsed the same year. The Dow bottomed 89% below its 1929 peak.</t>
  </si>
  <si>
    <t>US bank holiday; Glass-Steagall; Pecora hearings</t>
  </si>
  <si>
    <t>Roosevelt closed every bank in March. The Pecora hearings exposed National City Bank's practice of dumping bad Latin American loans on retail clients. Glass-Steagall and the Securities Act followed.</t>
  </si>
  <si>
    <t>Recession of 1937-38</t>
  </si>
  <si>
    <t>Market crash</t>
  </si>
  <si>
    <t>Premature tightening and fiscal contraction; the Dow fell 49%.</t>
  </si>
  <si>
    <t>RICHARD WHITNEY jailed</t>
  </si>
  <si>
    <t>Embezzlement</t>
  </si>
  <si>
    <t>The former NYSE president was convicted of embezzling from the Exchange's Gratuity Fund and his clients. The establishment's own man in Sing Sing.</t>
  </si>
  <si>
    <t>Outbreak of WWII; exchange disruption</t>
  </si>
  <si>
    <t>The LSE closed briefly; European bourses were suspended or seized.</t>
  </si>
  <si>
    <t>HUNGARIAN PENGO HYPERINFLATION</t>
  </si>
  <si>
    <t>Hungary</t>
  </si>
  <si>
    <t>The worst hyperinflation ever recorded - prices doubled roughly every 15 hours at the peak. The pengo was replaced by the forint in August.</t>
  </si>
  <si>
    <t>Chinese gold yuan hyperinflation</t>
  </si>
  <si>
    <t>The Nationalist currency reform failed within months; the collapse of monetary confidence contributed materially to the fall of the regime.</t>
  </si>
  <si>
    <t>Kennedy Slide; 'Flash Crash' of 28 May</t>
  </si>
  <si>
    <t>The S&amp;P fell 22% from December 1961; 28 May was the worst day since 1929 to that point.</t>
  </si>
  <si>
    <t>SALAD OIL SCANDAL</t>
  </si>
  <si>
    <t>Collateral fraud</t>
  </si>
  <si>
    <t>Anthony De Angelis pledged tanks of soybean oil that were mostly seawater; ~$175m of losses. American Express nearly failed and Buffett famously bought it. A pure collateral-verification failure - the same failure mode as First Brands in 2025.</t>
  </si>
  <si>
    <t>Credit Crunch of 1966</t>
  </si>
  <si>
    <t>First post-war credit squeeze; the municipal bond market seized up.</t>
  </si>
  <si>
    <t>Sterling devaluation (November)</t>
  </si>
  <si>
    <t>The pound was devalued 14%; 'the pound in your pocket'.</t>
  </si>
  <si>
    <t>Wall Street paperwork crisis</t>
  </si>
  <si>
    <t>Operational crisis</t>
  </si>
  <si>
    <t>Volume overwhelmed manual settlement; over 100 brokerages failed or merged. Led to the DTC and the SIPC.</t>
  </si>
  <si>
    <t>PENN CENTRAL bankruptcy (June); IOS collapse</t>
  </si>
  <si>
    <t>Corporate failure / Fraud</t>
  </si>
  <si>
    <t>USA / Switzerland</t>
  </si>
  <si>
    <t>Penn Central was the largest US bankruptcy to that date and froze the commercial paper market, forcing the Fed to open the discount window. Bernie Cornfeld's Investors Overseas Services, an offshore fund empire, also collapsed.</t>
  </si>
  <si>
    <t>Nixon Shock (15 August)</t>
  </si>
  <si>
    <t>The dollar's convertibility to gold was suspended, ending Bretton Woods and inaugurating the floating-rate era.</t>
  </si>
  <si>
    <t>Modern floating-rate</t>
  </si>
  <si>
    <t>Robert Vesco loots IOS</t>
  </si>
  <si>
    <t>USA / Costa Rica</t>
  </si>
  <si>
    <t>Vesco stripped roughly $224m from IOS funds and fled. He remained a fugitive for decades.</t>
  </si>
  <si>
    <t>EQUITY FUNDING FRAUD exposed; oil shock; UK secondary banking crisis</t>
  </si>
  <si>
    <t>Equity Funding had fabricated some 64,000 insurance policies (about $2bn face value) using its own computer systems - the first major computer-assisted fraud. Simultaneously the UK secondary banking crisis began and OPEC quadrupled oil prices.</t>
  </si>
  <si>
    <t>HERSTATT BANK collapse (26 June); Franklin National fails; UK crash</t>
  </si>
  <si>
    <t>Germany / USA / UK</t>
  </si>
  <si>
    <t>Herstatt was closed mid-settlement-day, stranding counterparties - 'Herstatt risk' is named for it and led directly to the Basel Committee. Franklin National was the largest US bank failure to that date. The FT30 fell 73% from its 1972 peak.</t>
  </si>
  <si>
    <t>New York City fiscal crisis</t>
  </si>
  <si>
    <t>Municipal default</t>
  </si>
  <si>
    <t>The city was days from default; 'Ford to City: Drop Dead'. Resolved by state and federal intervention.</t>
  </si>
  <si>
    <t>UK IMF bailout</t>
  </si>
  <si>
    <t>Sovereign crisis</t>
  </si>
  <si>
    <t>Sterling collapsed and Britain took a $3.9bn IMF loan, the largest ever at that point.</t>
  </si>
  <si>
    <t>Volcker shock (October)</t>
  </si>
  <si>
    <t>USA / Global</t>
  </si>
  <si>
    <t>The Fed switched to targeting money supply; rates went above 20%. The precondition for the 1982 emerging-market debt crisis.</t>
  </si>
  <si>
    <t>SILVER THURSDAY (27 March); Hunt brothers' corner collapses</t>
  </si>
  <si>
    <t>Corner / Fraud</t>
  </si>
  <si>
    <t>The Hunts had accumulated a third of the world's deliverable silver, driving it from $6 to $50. Exchange rule changes broke the corner; silver fell to $11 in a day and their broker Bache nearly failed.</t>
  </si>
  <si>
    <t>LATIN AMERICAN DEBT CRISIS; Banco Ambrosiano; Souk Al-Manakh; Penn Square</t>
  </si>
  <si>
    <t>Multiple systemic</t>
  </si>
  <si>
    <t>Mexico suspended payments in August, opening a lost decade for Latin America. Banco Ambrosiano collapsed with $1.3bn missing and Roberto Calvi was found hanged under Blackfriars Bridge. Kuwait's unofficial Souk Al-Manakh exchange collapsed under ~$94bn of post-dated cheques. Penn Square Bank and Drysdale Government Securities failed in the US.</t>
  </si>
  <si>
    <t>Israeli bank shares crisis (October)</t>
  </si>
  <si>
    <t>Israel</t>
  </si>
  <si>
    <t>The major banks had ramped their own shares for years to guarantee returns. When it broke, trading was suspended for over two weeks and the banks were nationalised.</t>
  </si>
  <si>
    <t>CONTINENTAL ILLINOIS rescue (May)</t>
  </si>
  <si>
    <t>The seventh-largest US bank was destroyed by energy loans bought from Penn Square. The FDIC guaranteed all depositors - the moment the phrase 'too big to fail' entered general use.</t>
  </si>
  <si>
    <t>Ohio and Maryland S&amp;L runs; ESM Government Securities fraud</t>
  </si>
  <si>
    <t>Banking crisis / Fraud</t>
  </si>
  <si>
    <t>ESM's collapse took down Home State Savings, triggering the first US bank runs since the 1930s and the closure of Ohio's state deposit insurance fund.</t>
  </si>
  <si>
    <t>IVAN BOESKY insider trading settlement; GUINNESS share-support fraud; Big Bang</t>
  </si>
  <si>
    <t>Insider dealing / Fraud</t>
  </si>
  <si>
    <t>Boesky settled for $100m and wore a wire, unravelling the arbitrage network. In London, Guinness illegally supported its own shares during the Distillers bid; four convictions followed. The LSE's Big Bang deregulated the City in October.</t>
  </si>
  <si>
    <t>BLACK MONDAY (19 October)</t>
  </si>
  <si>
    <t>The Dow fell 22.6% in a single session, still the largest one-day percentage fall ever. Portfolio insurance and program trading amplified the decline. Circuit breakers were introduced afterwards.</t>
  </si>
  <si>
    <t>Drexel pleads guilty; BCCI indicted</t>
  </si>
  <si>
    <t>Fraud / Enforcement</t>
  </si>
  <si>
    <t>Drexel Burnham Lambert paid $650m and admitted six felonies. BCCI was indicted in Tampa for laundering Medellin cartel money.</t>
  </si>
  <si>
    <t>Milken indicted; junk-bond collapse; S&amp;L bailout; Nikkei peaks</t>
  </si>
  <si>
    <t>Fraud / Banking crisis</t>
  </si>
  <si>
    <t>USA / Japan</t>
  </si>
  <si>
    <t>Milken was indicted on 98 counts in March. The UAL buyout financing collapsed on 13 October, taking the market with it. FIRREA created the RTC to resolve the S&amp;L crisis at an eventual taxpayer cost of about $124bn. The Nikkei peaked at 38,915 on 29 December.</t>
  </si>
  <si>
    <t>JAPANESE ASSET BUBBLE BURSTS; Drexel bankruptcy; Polly Peck</t>
  </si>
  <si>
    <t>Japan / USA / UK</t>
  </si>
  <si>
    <t>The Nikkei fell 39% in the year, beginning three lost decades; Japanese land prices eventually fell some 70%. Drexel filed for bankruptcy in February. Asil Nadir's Polly Peck collapsed in the UK with £550m missing.</t>
  </si>
  <si>
    <t>BCCI shut down (5 July); Maxwell pension theft; Salomon Treasury scandal</t>
  </si>
  <si>
    <t>UK / USA / Global</t>
  </si>
  <si>
    <t>BCCI was closed in seven countries simultaneously - roughly $13bn of losses, described as the largest bank fraud in history at the time. Robert Maxwell died in November and £460m of his companies' pension funds proved to be missing. Salomon Brothers admitted rigging US Treasury auctions.</t>
  </si>
  <si>
    <t>BLACK WEDNESDAY (16 September); HARSHAD MEHTA SCAM (India)</t>
  </si>
  <si>
    <t>Currency crisis / Securities fraud</t>
  </si>
  <si>
    <t>UK / India</t>
  </si>
  <si>
    <t>Britain was ejected from the ERM after burning £3.3bn defending sterling; Soros made about $1bn. In India, Harshad Mehta's ~Rs 4,025 crore ($1.3bn) bank receipts scam - diverting interbank money into equities - collapsed the Sensex about 40% and led directly to SEBI being given statutory powers and the founding of the NSE.</t>
  </si>
  <si>
    <t>ERM crisis resumes; bands widened to +/-15%</t>
  </si>
  <si>
    <t>The French franc came under attack in July; the ERM was effectively abandoned in all but name.</t>
  </si>
  <si>
    <t>GREAT BOND MASSACRE; Orange County; Tequila crisis begins</t>
  </si>
  <si>
    <t>Rates / Derivatives losses</t>
  </si>
  <si>
    <t>USA / Mexico</t>
  </si>
  <si>
    <t>Unexpected Fed tightening destroyed global bond portfolios (~$1.5tn of value). Orange County lost $1.6bn on leveraged repo and filed the largest US municipal bankruptcy. Askin Capital collapsed on mortgage derivatives. Mexico devalued in December.</t>
  </si>
  <si>
    <t>BARINGS BANK COLLAPSE (26 February); Daiwa Bank; Tequila contagion</t>
  </si>
  <si>
    <t>Rogue trading</t>
  </si>
  <si>
    <t>UK / Singapore / Japan</t>
  </si>
  <si>
    <t>Nick Leeson's unauthorised Nikkei futures positions lost £827m and destroyed a 233-year-old bank, which was sold to ING for £1. Daiwa's New York office admitted $1.1bn of hidden bond losses accumulated over 11 years by Toshihide Iguchi.</t>
  </si>
  <si>
    <t>SUMITOMO COPPER SCANDAL (June); Albanian pyramid schemes swell; Bre-X salting</t>
  </si>
  <si>
    <t>Manipulation / Ponzi</t>
  </si>
  <si>
    <t>Japan / Albania / Canada</t>
  </si>
  <si>
    <t>Yasuo Hamanaka, 'Mr Copper', had manipulated the LME copper market for a decade; Sumitomo disclosed $2.6bn of losses. In Albania, pyramid schemes reached roughly half of GDP.</t>
  </si>
  <si>
    <t>ASIAN FINANCIAL CRISIS; Albanian pyramid collapse; BRE-X fraud</t>
  </si>
  <si>
    <t>Currency / Banking crisis</t>
  </si>
  <si>
    <t>Asia / Albania / Canada</t>
  </si>
  <si>
    <t>The Thai baht floated on 2 July; contagion swept Indonesia, Korea, Malaysia and the Philippines, with IMF programmes exceeding $100bn. In Albania the pyramid collapse triggered civil war and around 2,000 deaths. Bre-X's Busang gold deposit proved to be salted core samples - about C$6bn evaporated, the largest mining fraud in history. In India, the CRB Capital Markets scam broke.</t>
  </si>
  <si>
    <t>RUSSIAN DEFAULT (17 August); LTCM COLLAPSE (September)</t>
  </si>
  <si>
    <t>Sovereign default / Hedge fund</t>
  </si>
  <si>
    <t>Russia / USA</t>
  </si>
  <si>
    <t>Russia defaulted on domestic debt and devalued. Long-Term Capital Management, with two Nobel laureates on the board and roughly 25x leverage, lost $4.6bn in four months; the New York Fed convened a $3.6bn private recapitalisation to prevent a chain reaction.</t>
  </si>
  <si>
    <t>Dot-com bubble inflates; Brazil devalues; Glass-Steagall repealed</t>
  </si>
  <si>
    <t>USA / Brazil</t>
  </si>
  <si>
    <t>IPOs doubling on day one became routine; the Nasdaq rose 86% in the year. The Gramm-Leach-Bliley Act repealed Glass-Steagall in November.</t>
  </si>
  <si>
    <t>DOT-COM CRASH (Nasdaq peaks 5,048 on 10 March)</t>
  </si>
  <si>
    <t>The Nasdaq fell 78% by October 2002; roughly $5tn of market value destroyed. Lernout &amp; Hauspie's fabricated Korean revenues were exposed the same year.</t>
  </si>
  <si>
    <t>ENRON COLLAPSE; ARGENTINA DEFAULT; Ketan Parekh scam (India); 9/11</t>
  </si>
  <si>
    <t>Accounting fraud / Sovereign default</t>
  </si>
  <si>
    <t>USA / Argentina / India</t>
  </si>
  <si>
    <t>Enron used SPEs and mark-to-model accounting to hide debt; it filed the largest US bankruptcy to that date in December. Argentina defaulted on ~$100bn. In India, Ketan Parekh's circular financing of 'K-10' stocks via Madhavpura Mercantile Bank pay orders collapsed the market in March.</t>
  </si>
  <si>
    <t>WORLDCOM FRAUD (July); Andersen convicted; Tyco, Adelphia, Global Crossing; Sarbanes-Oxley</t>
  </si>
  <si>
    <t>WorldCom capitalised $11bn of line costs and filed a bankruptcy larger than Enron's. Arthur Andersen was convicted and dissolved, ending the Big Five. Kozlowski at Tyco and the Rigas family at Adelphia were prosecuted for looting. SOX was signed in July.</t>
  </si>
  <si>
    <t>PARMALAT scandal (December); HealthSouth; mutual-fund market timing</t>
  </si>
  <si>
    <t>Italy / USA</t>
  </si>
  <si>
    <t>Parmalat's Bank of America account holding EUR 3.95bn did not exist; the total hole was about EUR 14bn - 'Europe's Enron'. HealthSouth's Scrushy had overstated earnings by $2.7bn. Spitzer exposed late trading and market timing across the US mutual fund industry.</t>
  </si>
  <si>
    <t>Fannie Mae accounting scandal; AIG probe; Yukos; China Aviation Oil</t>
  </si>
  <si>
    <t>USA / Russia / Singapore</t>
  </si>
  <si>
    <t>Fannie Mae restated $6.3bn after OFHEO found earnings manipulation to hit bonus targets. Yukos was dismantled by the Russian state. China Aviation Oil's Singapore unit lost $550m on unauthorised options.</t>
  </si>
  <si>
    <t>REFCO collapse (October); Bayou fraud; AIG restatement</t>
  </si>
  <si>
    <t>Refco collapsed two months after its IPO when a $430m receivable owed by the CEO was discovered to have been hidden from investors. Bayou Hedge Fund was revealed as a Ponzi with a fake audit firm. AIG restated $3.9bn and Hank Greenberg was forced out.</t>
  </si>
  <si>
    <t>OPTIONS BACKDATING scandal; AMARANTH ADVISORS blowup</t>
  </si>
  <si>
    <t>Fraud / Hedge fund</t>
  </si>
  <si>
    <t>Over 200 US companies were investigated for backdating option grants. Amaranth lost $6.6bn in a week on natural gas spreads - the largest hedge fund loss to that date.</t>
  </si>
  <si>
    <t>SUBPRIME CRISIS BEGINS; Northern Rock run (September)</t>
  </si>
  <si>
    <t>USA / UK / Global</t>
  </si>
  <si>
    <t>Two Bear Stearns credit funds collapsed in June; BNP Paribas froze three funds on 9 August, freezing the interbank market. Northern Rock suffered the first run on a British bank since 1866. The ABCP and SIV markets shut.</t>
  </si>
  <si>
    <t>GLOBAL FINANCIAL CRISIS; LEHMAN (15 Sept); MADOFF exposed (11 Dec); Kerviel</t>
  </si>
  <si>
    <t>Systemic crisis / Ponzi</t>
  </si>
  <si>
    <t>Bear Stearns was rescued in March; Fannie and Freddie were taken into conservatorship on 7 September; Lehman filed the largest bankruptcy in history ($639bn) on 15 September; AIG required $182bn; Iceland's three banks (about 10x GDP) failed; TARP committed $700bn. In December Madoff confessed to a Ponzi scheme with $64.8bn of fictitious statement value - the largest ever. In January, Societe Generale disclosed EUR 4.9bn of losses from Jerome Kerviel.</t>
  </si>
  <si>
    <t>SATYAM SCANDAL (7 Jan, India); Stanford Ponzi; Dubai World; Greek deficit revealed</t>
  </si>
  <si>
    <t>India / USA / UAE / Greece</t>
  </si>
  <si>
    <t>Ramalinga Raju confessed that Rs 7,136 crore ($1.47bn) of Satyam's cash did not exist, using over 6,000 forged invoices - 'India's Enron'. Allen Stanford's $7bn CD Ponzi collapsed in February. Dubai World sought a standstill in November. In October Greece revealed its deficit was more than double the reported figure.</t>
  </si>
  <si>
    <t>EUROZONE SOVEREIGN DEBT CRISIS; FLASH CRASH (6 May); Repo 105; Galleon</t>
  </si>
  <si>
    <t>Sovereign crisis / Market structure</t>
  </si>
  <si>
    <t>Europe / USA</t>
  </si>
  <si>
    <t>Greece was bailed out in May and Ireland in November. The Flash Crash saw the Dow fall 998 points intraday in minutes. The Lehman examiner's report exposed 'Repo 105' balance-sheet window dressing. Raj Rajaratnam's Galleon insider-trading network was prosecuted. Dodd-Frank was signed in July.</t>
  </si>
  <si>
    <t>MF GLOBAL (31 October); OLYMPUS fraud; UBS rogue trader; US downgrade</t>
  </si>
  <si>
    <t>Fraud / Rogue trading</t>
  </si>
  <si>
    <t>USA / Japan / Switzerland</t>
  </si>
  <si>
    <t>MF Global failed with $1.6bn of segregated customer funds missing under Jon Corzine. Olympus was revealed to have concealed $1.7bn of investment losses for 13 years using inflated M&amp;A fees. Kweku Adoboli lost UBS $2.3bn. S&amp;P downgraded the US in August; the eurozone crisis spread to Italy and Spain.</t>
  </si>
  <si>
    <t>LIBOR RIGGING; JPMorgan LONDON WHALE; HSBC laundering</t>
  </si>
  <si>
    <t>Benchmark manipulation</t>
  </si>
  <si>
    <t>Barclays was fined in June for manipulating LIBOR; global fines eventually reached about $9bn and the benchmark was rebuilt. JPMorgan lost $6.2bn on the CIO's synthetic credit book. HSBC paid $1.9bn over Mexican cartel money laundering. Peregrine Financial's CEO confessed to a 20-year, $215m fraud. Spain took a EUR 100bn bank bailout.</t>
  </si>
  <si>
    <t>CYPRUS BAIL-IN (March); first Bitcoin bubble; NSEL and Saradha scams (India)</t>
  </si>
  <si>
    <t>Bail-in / Bubble / Fraud</t>
  </si>
  <si>
    <t>Cyprus / Global / India</t>
  </si>
  <si>
    <t>Cyprus imposed losses on uninsured depositors and capital controls - the template for future European resolutions. Bitcoin peaked near $1,150 in December then fell 80%. FX benchmark rigging probes opened. In India, NSEL defaulted on Rs 5,600 crore of settlements and the Saradha chit-fund collapse hit Rs 2,500 crore.</t>
  </si>
  <si>
    <t>MT. GOX collapse (Feb); Banco Espirito Santo; FX rigging fines; Petrobras Lava Jato</t>
  </si>
  <si>
    <t>Japan / Portugal / Brazil / Global</t>
  </si>
  <si>
    <t>Mt. Gox, handling roughly 70% of Bitcoin volume, lost 850,000 BTC and failed. Banco Espirito Santo was resolved in August. Regulators fined six banks $4.3bn in November for FX benchmark collusion. Brazil's Lava Jato investigation exposed a systematic kickback scheme at Petrobras estimated in the billions.</t>
  </si>
  <si>
    <t>CHINESE STOCK CRASH (June-Aug); Swiss franc shock; TOSHIBA; 1MDB; Dieselgate</t>
  </si>
  <si>
    <t>China / Switzerland / Japan / Malaysia</t>
  </si>
  <si>
    <t>The Shanghai Composite fell 43% in weeks after a margin-fuelled retail mania; roughly $5tn was wiped out and half the market suspended trading. The SNB abandoned the euro peg on 15 January, wiping out retail FX brokers within minutes. Toshiba admitted overstating profits by JPY 152bn over seven years. The 1MDB scandal surfaced in Malaysia (~$4.5bn). Greece imposed capital controls in June.</t>
  </si>
  <si>
    <t>WELLS FARGO fake accounts (September); PANAMA PAPERS (April); Brexit shock</t>
  </si>
  <si>
    <t>Conduct fraud / Leak</t>
  </si>
  <si>
    <t>USA / Global / UK</t>
  </si>
  <si>
    <t>Wells Fargo staff had opened some 3.5m unauthorised accounts under sales-quota pressure; fines eventually exceeded $3bn. The Panama Papers leaked 11.5m Mossack Fonseca documents, felling leaders in several countries. The Brexit vote on 24 June wiped an estimated $2tn off global equities in a day.</t>
  </si>
  <si>
    <t>STEINHOFF scandal (December); Banco Popular resolution; ICO mania</t>
  </si>
  <si>
    <t>Accounting fraud / Bubble</t>
  </si>
  <si>
    <t>South Africa / Spain / Global</t>
  </si>
  <si>
    <t>Steinhoff's CEO resigned and the shares fell over 95% in days; roughly EUR 6.5bn of overstated profits over eight years - Europe's largest corporate fraud since Parmalat. Banco Popular was resolved overnight in June under the SRB, wiping out shareholders and juniors. ICO issuance exploded and Bitcoin peaked at $19,783 in December.</t>
  </si>
  <si>
    <t>Crypto crash; PNB-NIRAV MODI fraud; IL&amp;FS default; Danske Bank; Volmageddon</t>
  </si>
  <si>
    <t>Fraud / Credit crisis</t>
  </si>
  <si>
    <t>Global / India / Denmark</t>
  </si>
  <si>
    <t>Bitcoin fell 73% and most ICOs went to zero. Punjab National Bank disclosed a Rs 14,357 crore (~$2bn) letter-of-undertaking fraud by Nirav Modi and Mehul Choksi - India's largest banking fraud. IL&amp;FS defaulted in September, triggering a systemic NBFC liquidity crisis in India. Danske Bank's Estonian branch was found to have processed about EUR 200bn of suspicious flows. On 5 February the XIV inverse-volatility ETN was terminated after a 90% one-day loss.</t>
  </si>
  <si>
    <t>Woodford fund gated (June); WeWork IPO collapse; repo spike; Abraaj; DHFL and PMC (India)</t>
  </si>
  <si>
    <t>Liquidity / Fraud</t>
  </si>
  <si>
    <t>UK / USA / India / UAE</t>
  </si>
  <si>
    <t>Neil Woodford's GBP 3.7bn Equity Income fund was suspended over illiquid holdings and never reopened. WeWork's valuation fell from $47bn to about $8bn and the IPO was pulled. US overnight repo spiked to 10% on 17 September, forcing Fed intervention. Abraaj Group, the largest Middle East PE firm, collapsed over misuse of fund money. In India, DHFL defaulted and PMC Bank was placed under moratorium.</t>
  </si>
  <si>
    <t>COVID CRASH (March); negative oil (20 April); WIRECARD collapse (June); Luckin; Yes Bank</t>
  </si>
  <si>
    <t>Systemic shock / Fraud</t>
  </si>
  <si>
    <t>Global / Germany / China / India</t>
  </si>
  <si>
    <t>The fastest 30% equity decline in history, with four circuit-breaker halts in March, followed by unprecedented central bank intervention. WTI for May delivery settled at minus $37.63 on 20 April, the first negative oil price. Wirecard admitted EUR 1.9bn of cash 'did not exist' - Germany's biggest post-war fraud, with the COO still a fugitive. Luckin Coffee fabricated $310m of sales. NMC Health collapsed with $4bn of hidden debt. In India, Yes Bank was placed under moratorium and rescued in March, and Franklin Templeton wound up six debt schemes holding about Rs 25,000 crore in April.</t>
  </si>
  <si>
    <t>ARCHEGOS implosion; GREENSILL collapse; GameStop squeeze; EVERGRANDE default</t>
  </si>
  <si>
    <t>Leverage / Fraud / Bubble</t>
  </si>
  <si>
    <t>USA / UK / China</t>
  </si>
  <si>
    <t>Archegos' concealed total-return-swap leverage cost banks over $10bn, with Credit Suisse alone losing $5.5bn. Greensill Capital's supply-chain finance model collapsed, gating $10bn of CS funds. The GameStop squeeze in January broke Melvin Capital. Evergrande defaulted in December with over $300bn of liabilities, opening China's property crisis. Bitcoin peaked at $69,000 in November amid an NFT and SPAC mania (613 SPAC IPOs in the year).</t>
  </si>
  <si>
    <t>TERRA/LUNA collapse (May); FTX collapse (November); UK GILT/LDI CRISIS; Sri Lanka default</t>
  </si>
  <si>
    <t>Crypto collapse / Pension crisis</t>
  </si>
  <si>
    <t>Global / UK / Sri Lanka</t>
  </si>
  <si>
    <t>The UST algorithmic stablecoin depegged and roughly $45bn evaporated in days, taking down Three Arrows Capital and Celsius. FTX collapsed in November with about $8bn of customer funds missing; Sam Bankman-Fried was later convicted on seven counts. The UK mini-budget on 23 September triggered a gilt rout that nearly destroyed liability-driven investment pension strategies, forcing emergency Bank of England buying. Sri Lanka defaulted in May.</t>
  </si>
  <si>
    <t>SVB FAILS (10 March); CREDIT SUISSE rescued (19 March); First Republic; ADANI-HINDENBURG</t>
  </si>
  <si>
    <t>Banking crisis / Short-seller attack</t>
  </si>
  <si>
    <t>USA / Switzerland / India / Brazil</t>
  </si>
  <si>
    <t>Silicon Valley Bank failed in 48 hours ($209bn) on unhedged duration risk and a digitally accelerated run; Signature Bank followed; First Republic ($229bn) was seized on 1 May. UBS was pushed into acquiring the 167-year-old Credit Suisse on 19 March, with $17bn of AT1 bonds written to zero ahead of equity. In India, the Hindenburg report on 24 January triggered a fall of roughly $150bn in Adani group market value. Americanas in Brazil disclosed a R$25bn accounting hole. Binance and CZ pleaded guilty to a $4.3bn US settlement in November.</t>
  </si>
  <si>
    <t>Yen carry unwind (5 Aug); NYCB CRE shock; Evergrande liquidation; TD Bank plea; Adani indictment</t>
  </si>
  <si>
    <t>Deleveraging / Fraud</t>
  </si>
  <si>
    <t>Japan / USA / China / India</t>
  </si>
  <si>
    <t>A BoJ rate rise triggered a global carry-trade unwind; the Nikkei fell 12.4% on 5 August, its worst day since 1987. New York Community Bancorp's commercial-real-estate losses reopened the US regional bank question. Evergrande was ordered liquidated on 29 January. Synapse's failure in April froze fintech customer deposits, exposing banking-as-a-service risk. TD Bank pleaded guilty to money laundering and paid $3.09bn in October. US prosecutors indicted Gautam Adani and others on bribery charges in November. Super Micro's auditor resigned in October.</t>
  </si>
  <si>
    <t>APRIL TARIFF CRASH; TRICOLOR and FIRST BRANDS collapse; Banco Master; Jane Street ban (India)</t>
  </si>
  <si>
    <t>Policy shock / Credit fraud</t>
  </si>
  <si>
    <t>Global / USA / Brazil / India</t>
  </si>
  <si>
    <t>The 2 April tariff announcement triggered a week-long global crash - the S&amp;P fell 6% on 4 April, its worst run since 2020 - before a 9 April pause reversed it. In September, subprime auto lender Tricolor Holdings and auto-parts group First Brands collapsed within weeks, both amid allegations of double-pledged collateral and undisclosed off-balance-sheet financing; the episode put private credit, supply-chain finance and bank warehouse lines under regulatory scrutiny worldwide. In Brazil, Banco Master was liquidated and its controlling shareholder arrested in November in what has been called the country's largest banking fraud. In India, SEBI barred Jane Street over index manipulation with a Rs 4,843 crore disgorgement in July, IndusInd Bank disclosed a Rs 1,979 crore derivatives accounting lapse in March, and Gensol Engineering promoters were barred for fund diversion in April.</t>
  </si>
  <si>
    <t>AI-CAPEX BUBBLE DEBATE (unresolved); Feb volatility episode; private credit under stress test</t>
  </si>
  <si>
    <t>Suspected bubble / Ongoing</t>
  </si>
  <si>
    <t>As at July 2026 no crash has occurred, but the conditions are widely flagged. The cyclically adjusted P/E stood near 39.8 against a long-run average of about 17.7 and the top ten S&amp;P 500 names exceeded a third of the index. A viral Citrini Research report on a hypothetical 2028 AI-driven crisis contributed to a sharp one-day S&amp;P 500 fall in late February; a tariff-threat selloff hit on 20 January; ECB economists publicly warned of a likely correction. Regulators including the Bank of England ran stress tests on private credit after the 2025 failures. Smaller incidents: a $26m DeFi exploit at Truebit in January, a Europol takedown of a EUR 700m crypto fraud network in January, and a SEBI warning in July on AI deepfake executive-impersonation fraud at listed companies.</t>
  </si>
  <si>
    <t>Half-century</t>
  </si>
  <si>
    <t>From</t>
  </si>
  <si>
    <t>To</t>
  </si>
  <si>
    <t>Years</t>
  </si>
  <si>
    <t>Event Years</t>
  </si>
  <si>
    <t>% Event Years</t>
  </si>
  <si>
    <t>Total Severity</t>
  </si>
  <si>
    <t>Peak Severity</t>
  </si>
  <si>
    <t>800-849</t>
  </si>
  <si>
    <t>850-899</t>
  </si>
  <si>
    <t>900-949</t>
  </si>
  <si>
    <t>950-999</t>
  </si>
  <si>
    <t>1000-1049</t>
  </si>
  <si>
    <t>1050-1099</t>
  </si>
  <si>
    <t>1100-1149</t>
  </si>
  <si>
    <t>1150-1199</t>
  </si>
  <si>
    <t>1200-1249</t>
  </si>
  <si>
    <t>1250-1299</t>
  </si>
  <si>
    <t>1300-1349</t>
  </si>
  <si>
    <t>1350-1399</t>
  </si>
  <si>
    <t>1400-1449</t>
  </si>
  <si>
    <t>1450-1499</t>
  </si>
  <si>
    <t>1500-1549</t>
  </si>
  <si>
    <t>1550-1599</t>
  </si>
  <si>
    <t>1600-1649</t>
  </si>
  <si>
    <t>1650-1699</t>
  </si>
  <si>
    <t>1700-1749</t>
  </si>
  <si>
    <t>1750-1799</t>
  </si>
  <si>
    <t>1800-1849</t>
  </si>
  <si>
    <t>1850-1899</t>
  </si>
  <si>
    <t>1900-1949</t>
  </si>
  <si>
    <t>1950-1999</t>
  </si>
  <si>
    <t>2000-2026</t>
  </si>
  <si>
    <t>TOTAL 800-2026</t>
  </si>
  <si>
    <t>TITLE</t>
  </si>
  <si>
    <t>Financial Crises, Bubbles, Defaults and Scandals: Year-by-Year Register, 800-2026 (1,227 years)</t>
  </si>
  <si>
    <t>Coverage</t>
  </si>
  <si>
    <t>All 1,227 years from 800 through July 2026, every year a separate row, on one consistent 0-5 severity scale. Merges three registers: 800-1299, 1300-1600 and 1601-2026.</t>
  </si>
  <si>
    <t>Prepared for</t>
  </si>
  <si>
    <t>Aman Maheshwari, Kyro Asset Management Pvt. Ltd.</t>
  </si>
  <si>
    <t>Cut-off</t>
  </si>
  <si>
    <t>2026 events through July. 2026 is an open, unresolved year.</t>
  </si>
  <si>
    <t>Era column</t>
  </si>
  <si>
    <t>Pre-market (800-1299) | Medieval-Renaissance (1300-1600) | Joint-stock era (1601-1720) | Industrial / classical (1721-1913) | Wars &amp; Bretton Woods (1914-1971) | Modern floating-rate (1972-2026). Filter on it to compare like with like.</t>
  </si>
  <si>
    <t>SEVERITY SCALE</t>
  </si>
  <si>
    <t>Identical to the companion registers, so all years are comparable.</t>
  </si>
  <si>
    <t>0</t>
  </si>
  <si>
    <t>No significant recorded event, or an institutional milestone with no loss event.</t>
  </si>
  <si>
    <t>1</t>
  </si>
  <si>
    <t>Local or minor.</t>
  </si>
  <si>
    <t>2</t>
  </si>
  <si>
    <t>Notable but contained within one institution, city or court.</t>
  </si>
  <si>
    <t>3</t>
  </si>
  <si>
    <t>Major national or single-market event.</t>
  </si>
  <si>
    <t>4</t>
  </si>
  <si>
    <t>Major multi-market or cross-border crisis.</t>
  </si>
  <si>
    <t>5</t>
  </si>
  <si>
    <t>Systemic; reshaped the financial system of its era.</t>
  </si>
  <si>
    <t>THE CENTRAL WARNING</t>
  </si>
  <si>
    <t>Do not read the trend naively</t>
  </si>
  <si>
    <t>Event frequency rises from about 15% of years before 1300 to 100% of years since 1990. Most of that slope is record survival and market coverage, not risk. Before 1300 we have chronicles; after 1900 we have regulators, exchanges and newspapers. The register measures what was written down at least as much as what occurred.</t>
  </si>
  <si>
    <t>What the trend does show</t>
  </si>
  <si>
    <t>Two things are real. First, coverage: from roughly 1600 onward there are tradeable financial assets, so a whole class of event - the bubble - becomes possible for the first time. Second, coupling: the share of events rated 4 or 5 that spread across borders rises sharply after 1850 and again after 1971.</t>
  </si>
  <si>
    <t>THE ONE PATTERN THAT HOLDS</t>
  </si>
  <si>
    <t>Sovereign concentration</t>
  </si>
  <si>
    <t>The single most repeated failure in 1,227 years is a lender with concentrated exposure to a borrower who cannot be compelled to pay. The Riccardi of Lucca on Edward I (1294). The Bonsignori of Siena (1298). The Peruzzi and Bardi on Edward III (1343-46). The Fuggers on Philip II (1557). The Genoese on Philip II again (1575, 1596). Barings on Argentina (1890). The 1982 syndicate on Mexico. Six centuries of identical obituaries.</t>
  </si>
  <si>
    <t>Collateral you did not verify</t>
  </si>
  <si>
    <t>The second recurring form: De Angelis and the salad oil tanks (1963), Bre-X and the salted cores (1997), Madoff's statements (2008), Wirecard's Philippine escrow (2020), Tricolor and First Brands and their double-pledged receivables (2025). The instrument changes; the failure to physically confirm the asset does not.</t>
  </si>
  <si>
    <t>Debt relief by fiat</t>
  </si>
  <si>
    <t>Japan's tokusei edicts (1297, 1441) and the York bond-burning (1190) show the same result each time: cancelling debt destroys the credit supply it was meant to restore.</t>
  </si>
  <si>
    <t>METHOD &amp; CAVEATS</t>
  </si>
  <si>
    <t>Quiet years</t>
  </si>
  <si>
    <t>A zero-severity year means the surviving record is silent, not that the year was stable. This caveat is severe before 1300, serious before 1500, and mild after 1800.</t>
  </si>
  <si>
    <t>Geographic bias</t>
  </si>
  <si>
    <t>Coverage of Europe is denser than the Islamic world, China, India or Japan throughout, and that gap widens the further back you go. The non-Western entries included here - Tughlaq's token coinage, the Yuan and Jin and Ming paper collapses, the Shidda al-Uzma, Gaykhatu's chao, the tokusei edicts - are the well-documented survivors, not the full set.</t>
  </si>
  <si>
    <t>Figures</t>
  </si>
  <si>
    <t>Pre-20th-century amounts are not inflation-adjusted and not reliably convertible across regions. Post-2024 figures are as reported and may be revised.</t>
  </si>
  <si>
    <t>Not included by design</t>
  </si>
  <si>
    <t>Ordinary recessions, routine bear markets, and normal enforcement actions. The bar is a mania, panic, crash, systemic banking failure, sovereign default, hyperinflation, debasement or major fraud.</t>
  </si>
  <si>
    <t>SOURCES</t>
  </si>
  <si>
    <t>Spufford; Hendy and Morrisson; Goitein; Kennedy; von Glahn; Lopez; Kaeuper; Villani; de Roover; Hunt; Braudel; Cipolla; Munro; Kindleberger &amp; Aliber; Reinhart &amp; Rogoff; Galbraith; Chancellor; Bagehot; Bank of England and BIS historical series; NBER; SEC, FCA, SFO and SEBI enforcement records; contemporary reporting for 2020-2026.</t>
  </si>
</sst>
</file>

<file path=xl/styles.xml><?xml version="1.0" encoding="utf-8"?>
<styleSheet xmlns="http://schemas.openxmlformats.org/spreadsheetml/2006/main">
  <numFmts count="3">
    <numFmt numFmtId="0" formatCode="General"/>
    <numFmt numFmtId="1" formatCode="0"/>
    <numFmt numFmtId="164" formatCode="0.0%"/>
  </numFmts>
  <fonts count="6">
    <font>
      <name val="Calibri"/>
      <sz val="11"/>
    </font>
    <font>
      <name val="Arial"/>
      <b/>
      <charset val="1"/>
      <sz val="10"/>
      <color rgb="FFFFFFFF"/>
    </font>
    <font>
      <name val="Arial"/>
      <charset val="1"/>
      <sz val="10"/>
    </font>
    <font>
      <name val="Arial"/>
      <charset val="1"/>
      <sz val="10"/>
      <color rgb="FF808080"/>
    </font>
    <font>
      <name val="Arial"/>
      <b/>
      <charset val="1"/>
      <sz val="10"/>
    </font>
    <font>
      <name val="Arial"/>
      <b/>
      <charset val="1"/>
      <sz val="12"/>
    </font>
  </fonts>
  <fills count="10">
    <fill>
      <patternFill patternType="none"/>
    </fill>
    <fill>
      <patternFill patternType="gray125"/>
    </fill>
    <fill>
      <patternFill patternType="solid">
        <fgColor rgb="FF1F3864"/>
        <bgColor rgb="FF333333"/>
      </patternFill>
    </fill>
    <fill>
      <patternFill patternType="solid">
        <fgColor rgb="FFFFFFFF"/>
        <bgColor rgb="FFF2F2F2"/>
      </patternFill>
    </fill>
    <fill>
      <patternFill patternType="solid">
        <fgColor rgb="FFFFC7A0"/>
        <bgColor rgb="FFFFE0B2"/>
      </patternFill>
    </fill>
    <fill>
      <patternFill patternType="solid">
        <fgColor rgb="FFFFE0B2"/>
        <bgColor rgb="FFFFF2CC"/>
      </patternFill>
    </fill>
    <fill>
      <patternFill patternType="solid">
        <fgColor rgb="FFF4A582"/>
        <bgColor rgb="FFFFC7A0"/>
      </patternFill>
    </fill>
    <fill>
      <patternFill patternType="solid">
        <fgColor rgb="FFFFF2CC"/>
        <bgColor rgb="FFF2F2F2"/>
      </patternFill>
    </fill>
    <fill>
      <patternFill patternType="solid">
        <fgColor rgb="FFE06666"/>
        <bgColor rgb="FFFF6600"/>
      </patternFill>
    </fill>
    <fill>
      <patternFill patternType="solid">
        <fgColor rgb="FFF2F2F2"/>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alignment vertical="center"/>
    </xf>
  </cellStyleXfs>
  <cellXfs count="24">
    <xf numFmtId="0" fontId="0" fillId="0" borderId="0" xfId="0">
      <alignment vertical="center"/>
    </xf>
    <xf numFmtId="0" fontId="1" fillId="2" borderId="1" xfId="0" applyFont="1" applyBorder="1" applyAlignment="1">
      <alignment horizontal="center" vertical="center" wrapText="1"/>
    </xf>
    <xf numFmtId="1" fontId="2" fillId="0" borderId="1" xfId="0" applyFont="1" applyBorder="1" applyAlignment="1">
      <alignment horizontal="center" vertical="top"/>
    </xf>
    <xf numFmtId="0" fontId="3" fillId="0" borderId="1" xfId="0" applyFont="1" applyBorder="1" applyAlignment="1">
      <alignment horizontal="center" vertical="top"/>
    </xf>
    <xf numFmtId="0" fontId="3" fillId="0" borderId="1" xfId="0" applyFont="1" applyBorder="1" applyAlignment="1">
      <alignment vertical="top"/>
    </xf>
    <xf numFmtId="0" fontId="3" fillId="0" borderId="1" xfId="0" applyFont="1" applyBorder="1" applyAlignment="1">
      <alignment vertical="top" wrapText="1"/>
    </xf>
    <xf numFmtId="0" fontId="2" fillId="3" borderId="1" xfId="0" applyFont="1" applyBorder="1"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vertical="top"/>
    </xf>
    <xf numFmtId="0" fontId="2" fillId="0" borderId="1" xfId="0" applyFont="1" applyBorder="1" applyAlignment="1">
      <alignment vertical="top" wrapText="1"/>
    </xf>
    <xf numFmtId="0" fontId="2" fillId="4" borderId="1" xfId="0" applyFont="1" applyBorder="1" applyAlignment="1">
      <alignment horizontal="center" vertical="top"/>
    </xf>
    <xf numFmtId="0" fontId="2" fillId="5" borderId="1" xfId="0" applyFont="1" applyBorder="1" applyAlignment="1">
      <alignment horizontal="center" vertical="top"/>
    </xf>
    <xf numFmtId="0" fontId="4" fillId="0" borderId="1" xfId="0" applyFont="1" applyBorder="1" applyAlignment="1">
      <alignment horizontal="center" vertical="top"/>
    </xf>
    <xf numFmtId="0" fontId="2" fillId="6" borderId="1" xfId="0" applyFont="1" applyBorder="1" applyAlignment="1">
      <alignment horizontal="center" vertical="top"/>
    </xf>
    <xf numFmtId="0" fontId="2" fillId="7" borderId="1" xfId="0" applyFont="1" applyBorder="1" applyAlignment="1">
      <alignment horizontal="center" vertical="top"/>
    </xf>
    <xf numFmtId="0" fontId="2" fillId="8" borderId="1" xfId="0" applyFont="1" applyBorder="1" applyAlignment="1">
      <alignment horizontal="center" vertical="top"/>
    </xf>
    <xf numFmtId="0" fontId="2" fillId="0" borderId="1" xfId="0" applyFont="1" applyBorder="1" applyAlignment="1">
      <alignment horizontal="center" vertical="bottom"/>
    </xf>
    <xf numFmtId="164" fontId="2" fillId="0" borderId="1" xfId="0" applyFont="1" applyBorder="1" applyAlignment="1">
      <alignment horizontal="center" vertical="bottom"/>
    </xf>
    <xf numFmtId="0" fontId="4" fillId="9" borderId="1" xfId="0" applyFont="1" applyBorder="1" applyAlignment="1">
      <alignment horizontal="center" vertical="bottom"/>
    </xf>
    <xf numFmtId="164" fontId="4" fillId="9" borderId="1" xfId="0" applyFont="1" applyBorder="1" applyAlignment="1">
      <alignment horizontal="center" vertical="bottom"/>
    </xf>
    <xf numFmtId="0" fontId="5" fillId="0" borderId="0" xfId="0" applyFont="1" applyAlignment="1">
      <alignment vertical="bottom"/>
    </xf>
    <xf numFmtId="0" fontId="5" fillId="0" borderId="0" xfId="0" applyFont="1" applyAlignment="1">
      <alignment vertical="top" wrapText="1"/>
    </xf>
    <xf numFmtId="0" fontId="4" fillId="0" borderId="0" xfId="0" applyFont="1" applyAlignment="1">
      <alignment vertical="bottom"/>
    </xf>
    <xf numFmtId="0" fontId="2" fillId="0" borderId="0" xfId="0" applyFont="1" applyAlignment="1">
      <alignment vertical="top" wrapText="1"/>
    </xf>
  </cellXfs>
  <cellStyles count="1">
    <cellStyle name="常规" xfId="0" builtinId="0"/>
  </cellStyles>
  <dxfs count="0"/>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2CC"/>
      <rgbColor rgb="00F2F2F2"/>
      <rgbColor rgb="00660066"/>
      <rgbColor rgb="00E06666"/>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E0B2"/>
      <rgbColor rgb="0099CCFF"/>
      <rgbColor rgb="00F4A582"/>
      <rgbColor rgb="00CC99FF"/>
      <rgbColor rgb="00FFC7A0"/>
      <rgbColor rgb="003366FF"/>
      <rgbColor rgb="0033CCCC"/>
      <rgbColor rgb="0099CC00"/>
      <rgbColor rgb="00FFCC00"/>
      <rgbColor rgb="00FF9900"/>
      <rgbColor rgb="00FF6600"/>
      <rgbColor rgb="00666699"/>
      <rgbColor rgb="00969696"/>
      <rgbColor rgb="001F3864"/>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www.wps.cn/officeDocument/2020/cellImage" Target="cellimages.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I1228"/>
  <sheetViews>
    <sheetView tabSelected="1" workbookViewId="0" zoomScale="62">
      <pane ySplit="1" topLeftCell="A4" state="frozen" activePane="bottomLeft"/>
      <selection pane="bottomLeft" activeCell="A1" sqref="A1"/>
    </sheetView>
  </sheetViews>
  <sheetFormatPr defaultRowHeight="15.0" zeroHeight="1"/>
  <cols>
    <col min="1" max="1" customWidth="1" width="8.0" style="0"/>
    <col min="2" max="2" customWidth="1" width="22.0" style="0"/>
    <col min="3" max="3" customWidth="1" width="10.0" style="0"/>
    <col min="4" max="4" customWidth="1" width="46.0" style="0"/>
    <col min="5" max="5" customWidth="1" width="26.0" style="0"/>
    <col min="6" max="6" customWidth="1" width="28.0" style="0"/>
    <col min="7" max="7" customWidth="1" width="118.0" style="0"/>
    <col min="8" max="8" customWidth="1" width="13.0" style="0"/>
  </cols>
  <sheetData>
    <row r="1" spans="8:8" ht="30.0" customHeight="1">
      <c r="A1" s="1" t="s">
        <v>0</v>
      </c>
      <c r="B1" s="1" t="s">
        <v>1</v>
      </c>
      <c r="C1" s="1" t="s">
        <v>2</v>
      </c>
      <c r="D1" s="1" t="s">
        <v>3</v>
      </c>
      <c r="E1" s="1" t="s">
        <v>4</v>
      </c>
      <c r="F1" s="1" t="s">
        <v>5</v>
      </c>
      <c r="G1" s="1" t="s">
        <v>6</v>
      </c>
      <c r="H1" s="1" t="s">
        <v>7</v>
      </c>
    </row>
    <row r="2" spans="8:8" ht="23.85" hidden="1">
      <c r="A2" s="2">
        <v>800.0</v>
      </c>
      <c r="B2" s="3" t="s">
        <v>8</v>
      </c>
      <c r="C2" s="3" t="s">
        <v>9</v>
      </c>
      <c r="D2" s="4" t="s">
        <v>10</v>
      </c>
      <c r="E2" s="4" t="s">
        <v>11</v>
      </c>
      <c r="F2" s="4" t="s">
        <v>12</v>
      </c>
      <c r="G2" s="5" t="s">
        <v>13</v>
      </c>
      <c r="H2" s="6">
        <v>0.0</v>
      </c>
    </row>
    <row r="3" spans="8:8" ht="23.85" hidden="1">
      <c r="A3" s="2">
        <v>801.0</v>
      </c>
      <c r="B3" s="3" t="s">
        <v>8</v>
      </c>
      <c r="C3" s="3" t="s">
        <v>9</v>
      </c>
      <c r="D3" s="4" t="s">
        <v>14</v>
      </c>
      <c r="E3" s="4" t="s">
        <v>15</v>
      </c>
      <c r="F3" s="4" t="s">
        <v>16</v>
      </c>
      <c r="G3" s="5" t="s">
        <v>17</v>
      </c>
      <c r="H3" s="6">
        <v>0.0</v>
      </c>
    </row>
    <row r="4" spans="8:8" ht="23.85" hidden="1">
      <c r="A4" s="2">
        <v>802.0</v>
      </c>
      <c r="B4" s="3" t="s">
        <v>8</v>
      </c>
      <c r="C4" s="3" t="s">
        <v>9</v>
      </c>
      <c r="D4" s="4" t="s">
        <v>14</v>
      </c>
      <c r="E4" s="4" t="s">
        <v>15</v>
      </c>
      <c r="F4" s="4" t="s">
        <v>16</v>
      </c>
      <c r="G4" s="5" t="s">
        <v>17</v>
      </c>
      <c r="H4" s="6">
        <v>0.0</v>
      </c>
    </row>
    <row r="5" spans="8:8" ht="23.85" hidden="1">
      <c r="A5" s="2">
        <v>803.0</v>
      </c>
      <c r="B5" s="3" t="s">
        <v>8</v>
      </c>
      <c r="C5" s="3" t="s">
        <v>9</v>
      </c>
      <c r="D5" s="4" t="s">
        <v>14</v>
      </c>
      <c r="E5" s="4" t="s">
        <v>15</v>
      </c>
      <c r="F5" s="4" t="s">
        <v>16</v>
      </c>
      <c r="G5" s="5" t="s">
        <v>17</v>
      </c>
      <c r="H5" s="6">
        <v>0.0</v>
      </c>
    </row>
    <row r="6" spans="8:8" ht="23.85" hidden="1">
      <c r="A6" s="2">
        <v>804.0</v>
      </c>
      <c r="B6" s="3" t="s">
        <v>8</v>
      </c>
      <c r="C6" s="3" t="s">
        <v>9</v>
      </c>
      <c r="D6" s="4" t="s">
        <v>14</v>
      </c>
      <c r="E6" s="4" t="s">
        <v>15</v>
      </c>
      <c r="F6" s="4" t="s">
        <v>16</v>
      </c>
      <c r="G6" s="5" t="s">
        <v>17</v>
      </c>
      <c r="H6" s="6">
        <v>0.0</v>
      </c>
    </row>
    <row r="7" spans="8:8" ht="23.85" hidden="1">
      <c r="A7" s="2">
        <v>805.0</v>
      </c>
      <c r="B7" s="3" t="s">
        <v>8</v>
      </c>
      <c r="C7" s="3" t="s">
        <v>9</v>
      </c>
      <c r="D7" s="4" t="s">
        <v>14</v>
      </c>
      <c r="E7" s="4" t="s">
        <v>15</v>
      </c>
      <c r="F7" s="4" t="s">
        <v>16</v>
      </c>
      <c r="G7" s="5" t="s">
        <v>17</v>
      </c>
      <c r="H7" s="6">
        <v>0.0</v>
      </c>
    </row>
    <row r="8" spans="8:8" ht="23.85">
      <c r="A8" s="2">
        <v>806.0</v>
      </c>
      <c r="B8" s="7" t="s">
        <v>8</v>
      </c>
      <c r="C8" s="7" t="s">
        <v>18</v>
      </c>
      <c r="D8" s="8" t="s">
        <v>19</v>
      </c>
      <c r="E8" s="8" t="s">
        <v>20</v>
      </c>
      <c r="F8" s="8" t="s">
        <v>21</v>
      </c>
      <c r="G8" s="9" t="s">
        <v>22</v>
      </c>
      <c r="H8" s="10">
        <v>3.0</v>
      </c>
    </row>
    <row r="9" spans="8:8" ht="23.85" hidden="1">
      <c r="A9" s="2">
        <v>807.0</v>
      </c>
      <c r="B9" s="3" t="s">
        <v>8</v>
      </c>
      <c r="C9" s="3" t="s">
        <v>9</v>
      </c>
      <c r="D9" s="4" t="s">
        <v>14</v>
      </c>
      <c r="E9" s="4" t="s">
        <v>15</v>
      </c>
      <c r="F9" s="4" t="s">
        <v>16</v>
      </c>
      <c r="G9" s="5" t="s">
        <v>17</v>
      </c>
      <c r="H9" s="6">
        <v>0.0</v>
      </c>
    </row>
    <row r="10" spans="8:8" ht="23.85" hidden="1">
      <c r="A10" s="2">
        <v>808.0</v>
      </c>
      <c r="B10" s="3" t="s">
        <v>8</v>
      </c>
      <c r="C10" s="3" t="s">
        <v>9</v>
      </c>
      <c r="D10" s="4" t="s">
        <v>14</v>
      </c>
      <c r="E10" s="4" t="s">
        <v>15</v>
      </c>
      <c r="F10" s="4" t="s">
        <v>16</v>
      </c>
      <c r="G10" s="5" t="s">
        <v>17</v>
      </c>
      <c r="H10" s="6">
        <v>0.0</v>
      </c>
    </row>
    <row r="11" spans="8:8" ht="23.85" hidden="1">
      <c r="A11" s="2">
        <v>809.0</v>
      </c>
      <c r="B11" s="3" t="s">
        <v>8</v>
      </c>
      <c r="C11" s="3" t="s">
        <v>9</v>
      </c>
      <c r="D11" s="4" t="s">
        <v>14</v>
      </c>
      <c r="E11" s="4" t="s">
        <v>15</v>
      </c>
      <c r="F11" s="4" t="s">
        <v>16</v>
      </c>
      <c r="G11" s="5" t="s">
        <v>17</v>
      </c>
      <c r="H11" s="6">
        <v>0.0</v>
      </c>
    </row>
    <row r="12" spans="8:8" ht="23.85" hidden="1">
      <c r="A12" s="2">
        <v>810.0</v>
      </c>
      <c r="B12" s="3" t="s">
        <v>8</v>
      </c>
      <c r="C12" s="3" t="s">
        <v>9</v>
      </c>
      <c r="D12" s="4" t="s">
        <v>14</v>
      </c>
      <c r="E12" s="4" t="s">
        <v>15</v>
      </c>
      <c r="F12" s="4" t="s">
        <v>16</v>
      </c>
      <c r="G12" s="5" t="s">
        <v>17</v>
      </c>
      <c r="H12" s="6">
        <v>0.0</v>
      </c>
    </row>
    <row r="13" spans="8:8" ht="23.85">
      <c r="A13" s="2">
        <v>811.0</v>
      </c>
      <c r="B13" s="7" t="s">
        <v>8</v>
      </c>
      <c r="C13" s="7" t="s">
        <v>18</v>
      </c>
      <c r="D13" s="8" t="s">
        <v>23</v>
      </c>
      <c r="E13" s="8" t="s">
        <v>24</v>
      </c>
      <c r="F13" s="8" t="s">
        <v>21</v>
      </c>
      <c r="G13" s="9" t="s">
        <v>25</v>
      </c>
      <c r="H13" s="11">
        <v>2.0</v>
      </c>
    </row>
    <row r="14" spans="8:8" ht="23.85" hidden="1">
      <c r="A14" s="2">
        <v>812.0</v>
      </c>
      <c r="B14" s="3" t="s">
        <v>8</v>
      </c>
      <c r="C14" s="3" t="s">
        <v>9</v>
      </c>
      <c r="D14" s="4" t="s">
        <v>14</v>
      </c>
      <c r="E14" s="4" t="s">
        <v>15</v>
      </c>
      <c r="F14" s="4" t="s">
        <v>16</v>
      </c>
      <c r="G14" s="5" t="s">
        <v>17</v>
      </c>
      <c r="H14" s="6">
        <v>0.0</v>
      </c>
    </row>
    <row r="15" spans="8:8" ht="23.85" hidden="1">
      <c r="A15" s="2">
        <v>813.0</v>
      </c>
      <c r="B15" s="3" t="s">
        <v>8</v>
      </c>
      <c r="C15" s="3" t="s">
        <v>9</v>
      </c>
      <c r="D15" s="4" t="s">
        <v>14</v>
      </c>
      <c r="E15" s="4" t="s">
        <v>15</v>
      </c>
      <c r="F15" s="4" t="s">
        <v>16</v>
      </c>
      <c r="G15" s="5" t="s">
        <v>17</v>
      </c>
      <c r="H15" s="6">
        <v>0.0</v>
      </c>
    </row>
    <row r="16" spans="8:8" ht="23.85" hidden="1">
      <c r="A16" s="2">
        <v>814.0</v>
      </c>
      <c r="B16" s="3" t="s">
        <v>8</v>
      </c>
      <c r="C16" s="3" t="s">
        <v>9</v>
      </c>
      <c r="D16" s="4" t="s">
        <v>14</v>
      </c>
      <c r="E16" s="4" t="s">
        <v>15</v>
      </c>
      <c r="F16" s="4" t="s">
        <v>16</v>
      </c>
      <c r="G16" s="5" t="s">
        <v>17</v>
      </c>
      <c r="H16" s="6">
        <v>0.0</v>
      </c>
    </row>
    <row r="17" spans="8:8" ht="23.85" hidden="1">
      <c r="A17" s="2">
        <v>815.0</v>
      </c>
      <c r="B17" s="3" t="s">
        <v>8</v>
      </c>
      <c r="C17" s="3" t="s">
        <v>9</v>
      </c>
      <c r="D17" s="4" t="s">
        <v>14</v>
      </c>
      <c r="E17" s="4" t="s">
        <v>15</v>
      </c>
      <c r="F17" s="4" t="s">
        <v>16</v>
      </c>
      <c r="G17" s="5" t="s">
        <v>17</v>
      </c>
      <c r="H17" s="6">
        <v>0.0</v>
      </c>
    </row>
    <row r="18" spans="8:8" ht="23.85" hidden="1">
      <c r="A18" s="2">
        <v>816.0</v>
      </c>
      <c r="B18" s="3" t="s">
        <v>8</v>
      </c>
      <c r="C18" s="3" t="s">
        <v>9</v>
      </c>
      <c r="D18" s="4" t="s">
        <v>14</v>
      </c>
      <c r="E18" s="4" t="s">
        <v>15</v>
      </c>
      <c r="F18" s="4" t="s">
        <v>16</v>
      </c>
      <c r="G18" s="5" t="s">
        <v>17</v>
      </c>
      <c r="H18" s="6">
        <v>0.0</v>
      </c>
    </row>
    <row r="19" spans="8:8" ht="23.85" hidden="1">
      <c r="A19" s="2">
        <v>817.0</v>
      </c>
      <c r="B19" s="3" t="s">
        <v>8</v>
      </c>
      <c r="C19" s="3" t="s">
        <v>9</v>
      </c>
      <c r="D19" s="4" t="s">
        <v>14</v>
      </c>
      <c r="E19" s="4" t="s">
        <v>15</v>
      </c>
      <c r="F19" s="4" t="s">
        <v>16</v>
      </c>
      <c r="G19" s="5" t="s">
        <v>17</v>
      </c>
      <c r="H19" s="6">
        <v>0.0</v>
      </c>
    </row>
    <row r="20" spans="8:8" ht="23.85" hidden="1">
      <c r="A20" s="2">
        <v>818.0</v>
      </c>
      <c r="B20" s="3" t="s">
        <v>8</v>
      </c>
      <c r="C20" s="3" t="s">
        <v>9</v>
      </c>
      <c r="D20" s="4" t="s">
        <v>14</v>
      </c>
      <c r="E20" s="4" t="s">
        <v>15</v>
      </c>
      <c r="F20" s="4" t="s">
        <v>16</v>
      </c>
      <c r="G20" s="5" t="s">
        <v>17</v>
      </c>
      <c r="H20" s="6">
        <v>0.0</v>
      </c>
    </row>
    <row r="21" spans="8:8" ht="23.85" hidden="1">
      <c r="A21" s="2">
        <v>819.0</v>
      </c>
      <c r="B21" s="3" t="s">
        <v>8</v>
      </c>
      <c r="C21" s="3" t="s">
        <v>9</v>
      </c>
      <c r="D21" s="4" t="s">
        <v>14</v>
      </c>
      <c r="E21" s="4" t="s">
        <v>15</v>
      </c>
      <c r="F21" s="4" t="s">
        <v>16</v>
      </c>
      <c r="G21" s="5" t="s">
        <v>17</v>
      </c>
      <c r="H21" s="6">
        <v>0.0</v>
      </c>
    </row>
    <row r="22" spans="8:8" ht="23.85" hidden="1">
      <c r="A22" s="2">
        <v>820.0</v>
      </c>
      <c r="B22" s="3" t="s">
        <v>8</v>
      </c>
      <c r="C22" s="3" t="s">
        <v>9</v>
      </c>
      <c r="D22" s="4" t="s">
        <v>14</v>
      </c>
      <c r="E22" s="4" t="s">
        <v>15</v>
      </c>
      <c r="F22" s="4" t="s">
        <v>16</v>
      </c>
      <c r="G22" s="5" t="s">
        <v>17</v>
      </c>
      <c r="H22" s="6">
        <v>0.0</v>
      </c>
    </row>
    <row r="23" spans="8:8" ht="23.85" hidden="1">
      <c r="A23" s="2">
        <v>821.0</v>
      </c>
      <c r="B23" s="3" t="s">
        <v>8</v>
      </c>
      <c r="C23" s="3" t="s">
        <v>9</v>
      </c>
      <c r="D23" s="4" t="s">
        <v>14</v>
      </c>
      <c r="E23" s="4" t="s">
        <v>15</v>
      </c>
      <c r="F23" s="4" t="s">
        <v>16</v>
      </c>
      <c r="G23" s="5" t="s">
        <v>17</v>
      </c>
      <c r="H23" s="6">
        <v>0.0</v>
      </c>
    </row>
    <row r="24" spans="8:8" ht="23.85" hidden="1">
      <c r="A24" s="2">
        <v>822.0</v>
      </c>
      <c r="B24" s="3" t="s">
        <v>8</v>
      </c>
      <c r="C24" s="3" t="s">
        <v>9</v>
      </c>
      <c r="D24" s="4" t="s">
        <v>14</v>
      </c>
      <c r="E24" s="4" t="s">
        <v>15</v>
      </c>
      <c r="F24" s="4" t="s">
        <v>16</v>
      </c>
      <c r="G24" s="5" t="s">
        <v>17</v>
      </c>
      <c r="H24" s="6">
        <v>0.0</v>
      </c>
    </row>
    <row r="25" spans="8:8" ht="23.85" hidden="1">
      <c r="A25" s="2">
        <v>823.0</v>
      </c>
      <c r="B25" s="3" t="s">
        <v>8</v>
      </c>
      <c r="C25" s="3" t="s">
        <v>9</v>
      </c>
      <c r="D25" s="4" t="s">
        <v>14</v>
      </c>
      <c r="E25" s="4" t="s">
        <v>15</v>
      </c>
      <c r="F25" s="4" t="s">
        <v>16</v>
      </c>
      <c r="G25" s="5" t="s">
        <v>17</v>
      </c>
      <c r="H25" s="6">
        <v>0.0</v>
      </c>
    </row>
    <row r="26" spans="8:8" ht="23.85" hidden="1">
      <c r="A26" s="2">
        <v>824.0</v>
      </c>
      <c r="B26" s="3" t="s">
        <v>8</v>
      </c>
      <c r="C26" s="3" t="s">
        <v>9</v>
      </c>
      <c r="D26" s="4" t="s">
        <v>14</v>
      </c>
      <c r="E26" s="4" t="s">
        <v>15</v>
      </c>
      <c r="F26" s="4" t="s">
        <v>16</v>
      </c>
      <c r="G26" s="5" t="s">
        <v>17</v>
      </c>
      <c r="H26" s="6">
        <v>0.0</v>
      </c>
    </row>
    <row r="27" spans="8:8" ht="23.85" hidden="1">
      <c r="A27" s="2">
        <v>825.0</v>
      </c>
      <c r="B27" s="3" t="s">
        <v>8</v>
      </c>
      <c r="C27" s="3" t="s">
        <v>9</v>
      </c>
      <c r="D27" s="4" t="s">
        <v>14</v>
      </c>
      <c r="E27" s="4" t="s">
        <v>15</v>
      </c>
      <c r="F27" s="4" t="s">
        <v>16</v>
      </c>
      <c r="G27" s="5" t="s">
        <v>17</v>
      </c>
      <c r="H27" s="6">
        <v>0.0</v>
      </c>
    </row>
    <row r="28" spans="8:8" ht="23.85" hidden="1">
      <c r="A28" s="2">
        <v>826.0</v>
      </c>
      <c r="B28" s="3" t="s">
        <v>8</v>
      </c>
      <c r="C28" s="3" t="s">
        <v>9</v>
      </c>
      <c r="D28" s="4" t="s">
        <v>14</v>
      </c>
      <c r="E28" s="4" t="s">
        <v>15</v>
      </c>
      <c r="F28" s="4" t="s">
        <v>16</v>
      </c>
      <c r="G28" s="5" t="s">
        <v>17</v>
      </c>
      <c r="H28" s="6">
        <v>0.0</v>
      </c>
    </row>
    <row r="29" spans="8:8" ht="23.85" hidden="1">
      <c r="A29" s="2">
        <v>827.0</v>
      </c>
      <c r="B29" s="3" t="s">
        <v>8</v>
      </c>
      <c r="C29" s="3" t="s">
        <v>9</v>
      </c>
      <c r="D29" s="4" t="s">
        <v>14</v>
      </c>
      <c r="E29" s="4" t="s">
        <v>15</v>
      </c>
      <c r="F29" s="4" t="s">
        <v>16</v>
      </c>
      <c r="G29" s="5" t="s">
        <v>17</v>
      </c>
      <c r="H29" s="6">
        <v>0.0</v>
      </c>
    </row>
    <row r="30" spans="8:8" ht="23.85" hidden="1">
      <c r="A30" s="2">
        <v>828.0</v>
      </c>
      <c r="B30" s="3" t="s">
        <v>8</v>
      </c>
      <c r="C30" s="3" t="s">
        <v>9</v>
      </c>
      <c r="D30" s="4" t="s">
        <v>14</v>
      </c>
      <c r="E30" s="4" t="s">
        <v>15</v>
      </c>
      <c r="F30" s="4" t="s">
        <v>16</v>
      </c>
      <c r="G30" s="5" t="s">
        <v>17</v>
      </c>
      <c r="H30" s="6">
        <v>0.0</v>
      </c>
    </row>
    <row r="31" spans="8:8" ht="23.85" hidden="1">
      <c r="A31" s="2">
        <v>829.0</v>
      </c>
      <c r="B31" s="3" t="s">
        <v>8</v>
      </c>
      <c r="C31" s="3" t="s">
        <v>9</v>
      </c>
      <c r="D31" s="4" t="s">
        <v>14</v>
      </c>
      <c r="E31" s="4" t="s">
        <v>15</v>
      </c>
      <c r="F31" s="4" t="s">
        <v>16</v>
      </c>
      <c r="G31" s="5" t="s">
        <v>17</v>
      </c>
      <c r="H31" s="6">
        <v>0.0</v>
      </c>
    </row>
    <row r="32" spans="8:8" ht="23.85" hidden="1">
      <c r="A32" s="2">
        <v>830.0</v>
      </c>
      <c r="B32" s="3" t="s">
        <v>8</v>
      </c>
      <c r="C32" s="3" t="s">
        <v>9</v>
      </c>
      <c r="D32" s="4" t="s">
        <v>14</v>
      </c>
      <c r="E32" s="4" t="s">
        <v>15</v>
      </c>
      <c r="F32" s="4" t="s">
        <v>16</v>
      </c>
      <c r="G32" s="5" t="s">
        <v>17</v>
      </c>
      <c r="H32" s="6">
        <v>0.0</v>
      </c>
    </row>
    <row r="33" spans="8:8" ht="23.85" hidden="1">
      <c r="A33" s="2">
        <v>831.0</v>
      </c>
      <c r="B33" s="3" t="s">
        <v>8</v>
      </c>
      <c r="C33" s="3" t="s">
        <v>9</v>
      </c>
      <c r="D33" s="4" t="s">
        <v>14</v>
      </c>
      <c r="E33" s="4" t="s">
        <v>15</v>
      </c>
      <c r="F33" s="4" t="s">
        <v>16</v>
      </c>
      <c r="G33" s="5" t="s">
        <v>17</v>
      </c>
      <c r="H33" s="6">
        <v>0.0</v>
      </c>
    </row>
    <row r="34" spans="8:8" ht="23.85" hidden="1">
      <c r="A34" s="2">
        <v>832.0</v>
      </c>
      <c r="B34" s="3" t="s">
        <v>8</v>
      </c>
      <c r="C34" s="3" t="s">
        <v>9</v>
      </c>
      <c r="D34" s="4" t="s">
        <v>14</v>
      </c>
      <c r="E34" s="4" t="s">
        <v>15</v>
      </c>
      <c r="F34" s="4" t="s">
        <v>16</v>
      </c>
      <c r="G34" s="5" t="s">
        <v>17</v>
      </c>
      <c r="H34" s="6">
        <v>0.0</v>
      </c>
    </row>
    <row r="35" spans="8:8" ht="23.85" hidden="1">
      <c r="A35" s="2">
        <v>833.0</v>
      </c>
      <c r="B35" s="3" t="s">
        <v>8</v>
      </c>
      <c r="C35" s="3" t="s">
        <v>9</v>
      </c>
      <c r="D35" s="4" t="s">
        <v>14</v>
      </c>
      <c r="E35" s="4" t="s">
        <v>15</v>
      </c>
      <c r="F35" s="4" t="s">
        <v>16</v>
      </c>
      <c r="G35" s="5" t="s">
        <v>17</v>
      </c>
      <c r="H35" s="6">
        <v>0.0</v>
      </c>
    </row>
    <row r="36" spans="8:8" ht="23.85" hidden="1">
      <c r="A36" s="2">
        <v>834.0</v>
      </c>
      <c r="B36" s="3" t="s">
        <v>8</v>
      </c>
      <c r="C36" s="3" t="s">
        <v>9</v>
      </c>
      <c r="D36" s="4" t="s">
        <v>14</v>
      </c>
      <c r="E36" s="4" t="s">
        <v>15</v>
      </c>
      <c r="F36" s="4" t="s">
        <v>16</v>
      </c>
      <c r="G36" s="5" t="s">
        <v>17</v>
      </c>
      <c r="H36" s="6">
        <v>0.0</v>
      </c>
    </row>
    <row r="37" spans="8:8" ht="23.85" hidden="1">
      <c r="A37" s="2">
        <v>835.0</v>
      </c>
      <c r="B37" s="3" t="s">
        <v>8</v>
      </c>
      <c r="C37" s="3" t="s">
        <v>9</v>
      </c>
      <c r="D37" s="4" t="s">
        <v>14</v>
      </c>
      <c r="E37" s="4" t="s">
        <v>15</v>
      </c>
      <c r="F37" s="4" t="s">
        <v>16</v>
      </c>
      <c r="G37" s="5" t="s">
        <v>17</v>
      </c>
      <c r="H37" s="6">
        <v>0.0</v>
      </c>
    </row>
    <row r="38" spans="8:8" ht="23.85" hidden="1">
      <c r="A38" s="2">
        <v>836.0</v>
      </c>
      <c r="B38" s="3" t="s">
        <v>8</v>
      </c>
      <c r="C38" s="3" t="s">
        <v>9</v>
      </c>
      <c r="D38" s="4" t="s">
        <v>14</v>
      </c>
      <c r="E38" s="4" t="s">
        <v>15</v>
      </c>
      <c r="F38" s="4" t="s">
        <v>16</v>
      </c>
      <c r="G38" s="5" t="s">
        <v>17</v>
      </c>
      <c r="H38" s="6">
        <v>0.0</v>
      </c>
    </row>
    <row r="39" spans="8:8" ht="23.85" hidden="1">
      <c r="A39" s="2">
        <v>837.0</v>
      </c>
      <c r="B39" s="3" t="s">
        <v>8</v>
      </c>
      <c r="C39" s="3" t="s">
        <v>9</v>
      </c>
      <c r="D39" s="4" t="s">
        <v>14</v>
      </c>
      <c r="E39" s="4" t="s">
        <v>15</v>
      </c>
      <c r="F39" s="4" t="s">
        <v>16</v>
      </c>
      <c r="G39" s="5" t="s">
        <v>17</v>
      </c>
      <c r="H39" s="6">
        <v>0.0</v>
      </c>
    </row>
    <row r="40" spans="8:8" ht="23.85" hidden="1">
      <c r="A40" s="2">
        <v>838.0</v>
      </c>
      <c r="B40" s="3" t="s">
        <v>8</v>
      </c>
      <c r="C40" s="3" t="s">
        <v>9</v>
      </c>
      <c r="D40" s="4" t="s">
        <v>14</v>
      </c>
      <c r="E40" s="4" t="s">
        <v>15</v>
      </c>
      <c r="F40" s="4" t="s">
        <v>16</v>
      </c>
      <c r="G40" s="5" t="s">
        <v>17</v>
      </c>
      <c r="H40" s="6">
        <v>0.0</v>
      </c>
    </row>
    <row r="41" spans="8:8" ht="23.85" hidden="1">
      <c r="A41" s="2">
        <v>839.0</v>
      </c>
      <c r="B41" s="3" t="s">
        <v>8</v>
      </c>
      <c r="C41" s="3" t="s">
        <v>9</v>
      </c>
      <c r="D41" s="4" t="s">
        <v>14</v>
      </c>
      <c r="E41" s="4" t="s">
        <v>15</v>
      </c>
      <c r="F41" s="4" t="s">
        <v>16</v>
      </c>
      <c r="G41" s="5" t="s">
        <v>17</v>
      </c>
      <c r="H41" s="6">
        <v>0.0</v>
      </c>
    </row>
    <row r="42" spans="8:8" ht="23.85" hidden="1">
      <c r="A42" s="2">
        <v>840.0</v>
      </c>
      <c r="B42" s="3" t="s">
        <v>8</v>
      </c>
      <c r="C42" s="3" t="s">
        <v>9</v>
      </c>
      <c r="D42" s="4" t="s">
        <v>14</v>
      </c>
      <c r="E42" s="4" t="s">
        <v>15</v>
      </c>
      <c r="F42" s="4" t="s">
        <v>16</v>
      </c>
      <c r="G42" s="5" t="s">
        <v>17</v>
      </c>
      <c r="H42" s="6">
        <v>0.0</v>
      </c>
    </row>
    <row r="43" spans="8:8" ht="23.85" hidden="1">
      <c r="A43" s="2">
        <v>841.0</v>
      </c>
      <c r="B43" s="3" t="s">
        <v>8</v>
      </c>
      <c r="C43" s="3" t="s">
        <v>9</v>
      </c>
      <c r="D43" s="4" t="s">
        <v>14</v>
      </c>
      <c r="E43" s="4" t="s">
        <v>15</v>
      </c>
      <c r="F43" s="4" t="s">
        <v>16</v>
      </c>
      <c r="G43" s="5" t="s">
        <v>17</v>
      </c>
      <c r="H43" s="6">
        <v>0.0</v>
      </c>
    </row>
    <row r="44" spans="8:8" ht="23.85" hidden="1">
      <c r="A44" s="2">
        <v>842.0</v>
      </c>
      <c r="B44" s="3" t="s">
        <v>8</v>
      </c>
      <c r="C44" s="3" t="s">
        <v>9</v>
      </c>
      <c r="D44" s="4" t="s">
        <v>14</v>
      </c>
      <c r="E44" s="4" t="s">
        <v>15</v>
      </c>
      <c r="F44" s="4" t="s">
        <v>16</v>
      </c>
      <c r="G44" s="5" t="s">
        <v>17</v>
      </c>
      <c r="H44" s="6">
        <v>0.0</v>
      </c>
    </row>
    <row r="45" spans="8:8" ht="23.85" hidden="1">
      <c r="A45" s="2">
        <v>843.0</v>
      </c>
      <c r="B45" s="3" t="s">
        <v>8</v>
      </c>
      <c r="C45" s="3" t="s">
        <v>9</v>
      </c>
      <c r="D45" s="4" t="s">
        <v>14</v>
      </c>
      <c r="E45" s="4" t="s">
        <v>15</v>
      </c>
      <c r="F45" s="4" t="s">
        <v>16</v>
      </c>
      <c r="G45" s="5" t="s">
        <v>17</v>
      </c>
      <c r="H45" s="6">
        <v>0.0</v>
      </c>
    </row>
    <row r="46" spans="8:8" ht="23.85" hidden="1">
      <c r="A46" s="2">
        <v>844.0</v>
      </c>
      <c r="B46" s="3" t="s">
        <v>8</v>
      </c>
      <c r="C46" s="3" t="s">
        <v>9</v>
      </c>
      <c r="D46" s="4" t="s">
        <v>14</v>
      </c>
      <c r="E46" s="4" t="s">
        <v>15</v>
      </c>
      <c r="F46" s="4" t="s">
        <v>16</v>
      </c>
      <c r="G46" s="5" t="s">
        <v>17</v>
      </c>
      <c r="H46" s="6">
        <v>0.0</v>
      </c>
    </row>
    <row r="47" spans="8:8" ht="23.85">
      <c r="A47" s="2">
        <v>845.0</v>
      </c>
      <c r="B47" s="7" t="s">
        <v>8</v>
      </c>
      <c r="C47" s="12" t="s">
        <v>18</v>
      </c>
      <c r="D47" s="8" t="s">
        <v>26</v>
      </c>
      <c r="E47" s="8" t="s">
        <v>27</v>
      </c>
      <c r="F47" s="8" t="s">
        <v>21</v>
      </c>
      <c r="G47" s="9" t="s">
        <v>28</v>
      </c>
      <c r="H47" s="13">
        <v>4.0</v>
      </c>
    </row>
    <row r="48" spans="8:8" ht="23.85">
      <c r="A48" s="2">
        <v>846.0</v>
      </c>
      <c r="B48" s="7" t="s">
        <v>8</v>
      </c>
      <c r="C48" s="7" t="s">
        <v>18</v>
      </c>
      <c r="D48" s="8" t="s">
        <v>29</v>
      </c>
      <c r="E48" s="8" t="s">
        <v>30</v>
      </c>
      <c r="F48" s="8" t="s">
        <v>21</v>
      </c>
      <c r="G48" s="9" t="s">
        <v>31</v>
      </c>
      <c r="H48" s="10">
        <v>3.0</v>
      </c>
    </row>
    <row r="49" spans="8:8" ht="23.85" hidden="1">
      <c r="A49" s="2">
        <v>847.0</v>
      </c>
      <c r="B49" s="3" t="s">
        <v>8</v>
      </c>
      <c r="C49" s="3" t="s">
        <v>9</v>
      </c>
      <c r="D49" s="4" t="s">
        <v>14</v>
      </c>
      <c r="E49" s="4" t="s">
        <v>15</v>
      </c>
      <c r="F49" s="4" t="s">
        <v>16</v>
      </c>
      <c r="G49" s="5" t="s">
        <v>17</v>
      </c>
      <c r="H49" s="6">
        <v>0.0</v>
      </c>
    </row>
    <row r="50" spans="8:8" ht="23.85" hidden="1">
      <c r="A50" s="2">
        <v>848.0</v>
      </c>
      <c r="B50" s="3" t="s">
        <v>8</v>
      </c>
      <c r="C50" s="3" t="s">
        <v>9</v>
      </c>
      <c r="D50" s="4" t="s">
        <v>14</v>
      </c>
      <c r="E50" s="4" t="s">
        <v>15</v>
      </c>
      <c r="F50" s="4" t="s">
        <v>16</v>
      </c>
      <c r="G50" s="5" t="s">
        <v>17</v>
      </c>
      <c r="H50" s="6">
        <v>0.0</v>
      </c>
    </row>
    <row r="51" spans="8:8" ht="23.85" hidden="1">
      <c r="A51" s="2">
        <v>849.0</v>
      </c>
      <c r="B51" s="3" t="s">
        <v>8</v>
      </c>
      <c r="C51" s="3" t="s">
        <v>9</v>
      </c>
      <c r="D51" s="4" t="s">
        <v>14</v>
      </c>
      <c r="E51" s="4" t="s">
        <v>15</v>
      </c>
      <c r="F51" s="4" t="s">
        <v>16</v>
      </c>
      <c r="G51" s="5" t="s">
        <v>17</v>
      </c>
      <c r="H51" s="6">
        <v>0.0</v>
      </c>
    </row>
    <row r="52" spans="8:8" ht="23.85" hidden="1">
      <c r="A52" s="2">
        <v>850.0</v>
      </c>
      <c r="B52" s="3" t="s">
        <v>8</v>
      </c>
      <c r="C52" s="3" t="s">
        <v>9</v>
      </c>
      <c r="D52" s="4" t="s">
        <v>14</v>
      </c>
      <c r="E52" s="4" t="s">
        <v>15</v>
      </c>
      <c r="F52" s="4" t="s">
        <v>16</v>
      </c>
      <c r="G52" s="5" t="s">
        <v>17</v>
      </c>
      <c r="H52" s="6">
        <v>0.0</v>
      </c>
    </row>
    <row r="53" spans="8:8" ht="23.85" hidden="1">
      <c r="A53" s="2">
        <v>851.0</v>
      </c>
      <c r="B53" s="3" t="s">
        <v>8</v>
      </c>
      <c r="C53" s="3" t="s">
        <v>9</v>
      </c>
      <c r="D53" s="4" t="s">
        <v>14</v>
      </c>
      <c r="E53" s="4" t="s">
        <v>15</v>
      </c>
      <c r="F53" s="4" t="s">
        <v>16</v>
      </c>
      <c r="G53" s="5" t="s">
        <v>17</v>
      </c>
      <c r="H53" s="6">
        <v>0.0</v>
      </c>
    </row>
    <row r="54" spans="8:8" ht="23.85" hidden="1">
      <c r="A54" s="2">
        <v>852.0</v>
      </c>
      <c r="B54" s="3" t="s">
        <v>8</v>
      </c>
      <c r="C54" s="3" t="s">
        <v>9</v>
      </c>
      <c r="D54" s="4" t="s">
        <v>14</v>
      </c>
      <c r="E54" s="4" t="s">
        <v>15</v>
      </c>
      <c r="F54" s="4" t="s">
        <v>16</v>
      </c>
      <c r="G54" s="5" t="s">
        <v>17</v>
      </c>
      <c r="H54" s="6">
        <v>0.0</v>
      </c>
    </row>
    <row r="55" spans="8:8" ht="23.85" hidden="1">
      <c r="A55" s="2">
        <v>853.0</v>
      </c>
      <c r="B55" s="3" t="s">
        <v>8</v>
      </c>
      <c r="C55" s="3" t="s">
        <v>9</v>
      </c>
      <c r="D55" s="4" t="s">
        <v>14</v>
      </c>
      <c r="E55" s="4" t="s">
        <v>15</v>
      </c>
      <c r="F55" s="4" t="s">
        <v>16</v>
      </c>
      <c r="G55" s="5" t="s">
        <v>17</v>
      </c>
      <c r="H55" s="6">
        <v>0.0</v>
      </c>
    </row>
    <row r="56" spans="8:8" ht="23.85" hidden="1">
      <c r="A56" s="2">
        <v>854.0</v>
      </c>
      <c r="B56" s="3" t="s">
        <v>8</v>
      </c>
      <c r="C56" s="3" t="s">
        <v>9</v>
      </c>
      <c r="D56" s="4" t="s">
        <v>14</v>
      </c>
      <c r="E56" s="4" t="s">
        <v>15</v>
      </c>
      <c r="F56" s="4" t="s">
        <v>16</v>
      </c>
      <c r="G56" s="5" t="s">
        <v>17</v>
      </c>
      <c r="H56" s="6">
        <v>0.0</v>
      </c>
    </row>
    <row r="57" spans="8:8" ht="23.85" hidden="1">
      <c r="A57" s="2">
        <v>855.0</v>
      </c>
      <c r="B57" s="3" t="s">
        <v>8</v>
      </c>
      <c r="C57" s="3" t="s">
        <v>9</v>
      </c>
      <c r="D57" s="4" t="s">
        <v>14</v>
      </c>
      <c r="E57" s="4" t="s">
        <v>15</v>
      </c>
      <c r="F57" s="4" t="s">
        <v>16</v>
      </c>
      <c r="G57" s="5" t="s">
        <v>17</v>
      </c>
      <c r="H57" s="6">
        <v>0.0</v>
      </c>
    </row>
    <row r="58" spans="8:8" ht="23.85" hidden="1">
      <c r="A58" s="2">
        <v>856.0</v>
      </c>
      <c r="B58" s="3" t="s">
        <v>8</v>
      </c>
      <c r="C58" s="3" t="s">
        <v>9</v>
      </c>
      <c r="D58" s="4" t="s">
        <v>14</v>
      </c>
      <c r="E58" s="4" t="s">
        <v>15</v>
      </c>
      <c r="F58" s="4" t="s">
        <v>16</v>
      </c>
      <c r="G58" s="5" t="s">
        <v>17</v>
      </c>
      <c r="H58" s="6">
        <v>0.0</v>
      </c>
    </row>
    <row r="59" spans="8:8" ht="23.85" hidden="1">
      <c r="A59" s="2">
        <v>857.0</v>
      </c>
      <c r="B59" s="3" t="s">
        <v>8</v>
      </c>
      <c r="C59" s="3" t="s">
        <v>9</v>
      </c>
      <c r="D59" s="4" t="s">
        <v>14</v>
      </c>
      <c r="E59" s="4" t="s">
        <v>15</v>
      </c>
      <c r="F59" s="4" t="s">
        <v>16</v>
      </c>
      <c r="G59" s="5" t="s">
        <v>17</v>
      </c>
      <c r="H59" s="6">
        <v>0.0</v>
      </c>
    </row>
    <row r="60" spans="8:8" ht="23.85" hidden="1">
      <c r="A60" s="2">
        <v>858.0</v>
      </c>
      <c r="B60" s="3" t="s">
        <v>8</v>
      </c>
      <c r="C60" s="3" t="s">
        <v>9</v>
      </c>
      <c r="D60" s="4" t="s">
        <v>14</v>
      </c>
      <c r="E60" s="4" t="s">
        <v>15</v>
      </c>
      <c r="F60" s="4" t="s">
        <v>16</v>
      </c>
      <c r="G60" s="5" t="s">
        <v>17</v>
      </c>
      <c r="H60" s="6">
        <v>0.0</v>
      </c>
    </row>
    <row r="61" spans="8:8" ht="23.85" hidden="1">
      <c r="A61" s="2">
        <v>859.0</v>
      </c>
      <c r="B61" s="3" t="s">
        <v>8</v>
      </c>
      <c r="C61" s="3" t="s">
        <v>9</v>
      </c>
      <c r="D61" s="4" t="s">
        <v>14</v>
      </c>
      <c r="E61" s="4" t="s">
        <v>15</v>
      </c>
      <c r="F61" s="4" t="s">
        <v>16</v>
      </c>
      <c r="G61" s="5" t="s">
        <v>17</v>
      </c>
      <c r="H61" s="6">
        <v>0.0</v>
      </c>
    </row>
    <row r="62" spans="8:8" ht="23.85" hidden="1">
      <c r="A62" s="2">
        <v>860.0</v>
      </c>
      <c r="B62" s="3" t="s">
        <v>8</v>
      </c>
      <c r="C62" s="3" t="s">
        <v>9</v>
      </c>
      <c r="D62" s="4" t="s">
        <v>14</v>
      </c>
      <c r="E62" s="4" t="s">
        <v>15</v>
      </c>
      <c r="F62" s="4" t="s">
        <v>16</v>
      </c>
      <c r="G62" s="5" t="s">
        <v>17</v>
      </c>
      <c r="H62" s="6">
        <v>0.0</v>
      </c>
    </row>
    <row r="63" spans="8:8" ht="23.85">
      <c r="A63" s="2">
        <v>861.0</v>
      </c>
      <c r="B63" s="7" t="s">
        <v>8</v>
      </c>
      <c r="C63" s="12" t="s">
        <v>18</v>
      </c>
      <c r="D63" s="8" t="s">
        <v>32</v>
      </c>
      <c r="E63" s="8" t="s">
        <v>33</v>
      </c>
      <c r="F63" s="8" t="s">
        <v>34</v>
      </c>
      <c r="G63" s="9" t="s">
        <v>35</v>
      </c>
      <c r="H63" s="13">
        <v>4.0</v>
      </c>
    </row>
    <row r="64" spans="8:8" ht="23.85" hidden="1">
      <c r="A64" s="2">
        <v>862.0</v>
      </c>
      <c r="B64" s="3" t="s">
        <v>8</v>
      </c>
      <c r="C64" s="3" t="s">
        <v>9</v>
      </c>
      <c r="D64" s="4" t="s">
        <v>14</v>
      </c>
      <c r="E64" s="4" t="s">
        <v>15</v>
      </c>
      <c r="F64" s="4" t="s">
        <v>16</v>
      </c>
      <c r="G64" s="5" t="s">
        <v>17</v>
      </c>
      <c r="H64" s="6">
        <v>0.0</v>
      </c>
    </row>
    <row r="65" spans="8:8" ht="23.85" hidden="1">
      <c r="A65" s="2">
        <v>863.0</v>
      </c>
      <c r="B65" s="3" t="s">
        <v>8</v>
      </c>
      <c r="C65" s="3" t="s">
        <v>9</v>
      </c>
      <c r="D65" s="4" t="s">
        <v>14</v>
      </c>
      <c r="E65" s="4" t="s">
        <v>15</v>
      </c>
      <c r="F65" s="4" t="s">
        <v>16</v>
      </c>
      <c r="G65" s="5" t="s">
        <v>17</v>
      </c>
      <c r="H65" s="6">
        <v>0.0</v>
      </c>
    </row>
    <row r="66" spans="8:8" ht="23.85" hidden="1">
      <c r="A66" s="2">
        <v>864.0</v>
      </c>
      <c r="B66" s="3" t="s">
        <v>8</v>
      </c>
      <c r="C66" s="3" t="s">
        <v>9</v>
      </c>
      <c r="D66" s="4" t="s">
        <v>14</v>
      </c>
      <c r="E66" s="4" t="s">
        <v>15</v>
      </c>
      <c r="F66" s="4" t="s">
        <v>16</v>
      </c>
      <c r="G66" s="5" t="s">
        <v>17</v>
      </c>
      <c r="H66" s="6">
        <v>0.0</v>
      </c>
    </row>
    <row r="67" spans="8:8" ht="23.85" hidden="1">
      <c r="A67" s="2">
        <v>865.0</v>
      </c>
      <c r="B67" s="3" t="s">
        <v>8</v>
      </c>
      <c r="C67" s="3" t="s">
        <v>9</v>
      </c>
      <c r="D67" s="4" t="s">
        <v>14</v>
      </c>
      <c r="E67" s="4" t="s">
        <v>15</v>
      </c>
      <c r="F67" s="4" t="s">
        <v>16</v>
      </c>
      <c r="G67" s="5" t="s">
        <v>17</v>
      </c>
      <c r="H67" s="6">
        <v>0.0</v>
      </c>
    </row>
    <row r="68" spans="8:8" ht="15.0">
      <c r="A68" s="2">
        <v>866.0</v>
      </c>
      <c r="B68" s="7" t="s">
        <v>8</v>
      </c>
      <c r="C68" s="12" t="s">
        <v>18</v>
      </c>
      <c r="D68" s="8" t="s">
        <v>36</v>
      </c>
      <c r="E68" s="8" t="s">
        <v>33</v>
      </c>
      <c r="F68" s="8" t="s">
        <v>34</v>
      </c>
      <c r="G68" s="9" t="s">
        <v>37</v>
      </c>
      <c r="H68" s="13">
        <v>4.0</v>
      </c>
    </row>
    <row r="69" spans="8:8" ht="23.85" hidden="1">
      <c r="A69" s="2">
        <v>867.0</v>
      </c>
      <c r="B69" s="3" t="s">
        <v>8</v>
      </c>
      <c r="C69" s="3" t="s">
        <v>9</v>
      </c>
      <c r="D69" s="4" t="s">
        <v>14</v>
      </c>
      <c r="E69" s="4" t="s">
        <v>15</v>
      </c>
      <c r="F69" s="4" t="s">
        <v>16</v>
      </c>
      <c r="G69" s="5" t="s">
        <v>17</v>
      </c>
      <c r="H69" s="6">
        <v>0.0</v>
      </c>
    </row>
    <row r="70" spans="8:8" ht="23.85" hidden="1">
      <c r="A70" s="2">
        <v>868.0</v>
      </c>
      <c r="B70" s="3" t="s">
        <v>8</v>
      </c>
      <c r="C70" s="3" t="s">
        <v>9</v>
      </c>
      <c r="D70" s="4" t="s">
        <v>14</v>
      </c>
      <c r="E70" s="4" t="s">
        <v>15</v>
      </c>
      <c r="F70" s="4" t="s">
        <v>16</v>
      </c>
      <c r="G70" s="5" t="s">
        <v>17</v>
      </c>
      <c r="H70" s="6">
        <v>0.0</v>
      </c>
    </row>
    <row r="71" spans="8:8" ht="23.85">
      <c r="A71" s="2">
        <v>869.0</v>
      </c>
      <c r="B71" s="7" t="s">
        <v>8</v>
      </c>
      <c r="C71" s="12" t="s">
        <v>18</v>
      </c>
      <c r="D71" s="8" t="s">
        <v>38</v>
      </c>
      <c r="E71" s="8" t="s">
        <v>39</v>
      </c>
      <c r="F71" s="8" t="s">
        <v>40</v>
      </c>
      <c r="G71" s="9" t="s">
        <v>41</v>
      </c>
      <c r="H71" s="13">
        <v>4.0</v>
      </c>
    </row>
    <row r="72" spans="8:8" ht="23.85" hidden="1">
      <c r="A72" s="2">
        <v>870.0</v>
      </c>
      <c r="B72" s="3" t="s">
        <v>8</v>
      </c>
      <c r="C72" s="3" t="s">
        <v>9</v>
      </c>
      <c r="D72" s="4" t="s">
        <v>14</v>
      </c>
      <c r="E72" s="4" t="s">
        <v>15</v>
      </c>
      <c r="F72" s="4" t="s">
        <v>16</v>
      </c>
      <c r="G72" s="5" t="s">
        <v>17</v>
      </c>
      <c r="H72" s="6">
        <v>0.0</v>
      </c>
    </row>
    <row r="73" spans="8:8" ht="23.85">
      <c r="A73" s="2">
        <v>871.0</v>
      </c>
      <c r="B73" s="7" t="s">
        <v>8</v>
      </c>
      <c r="C73" s="12" t="s">
        <v>18</v>
      </c>
      <c r="D73" s="8" t="s">
        <v>42</v>
      </c>
      <c r="E73" s="8" t="s">
        <v>39</v>
      </c>
      <c r="F73" s="8" t="s">
        <v>40</v>
      </c>
      <c r="G73" s="9" t="s">
        <v>43</v>
      </c>
      <c r="H73" s="13">
        <v>4.0</v>
      </c>
    </row>
    <row r="74" spans="8:8" ht="23.85" hidden="1">
      <c r="A74" s="2">
        <v>872.0</v>
      </c>
      <c r="B74" s="3" t="s">
        <v>8</v>
      </c>
      <c r="C74" s="3" t="s">
        <v>9</v>
      </c>
      <c r="D74" s="4" t="s">
        <v>14</v>
      </c>
      <c r="E74" s="4" t="s">
        <v>15</v>
      </c>
      <c r="F74" s="4" t="s">
        <v>16</v>
      </c>
      <c r="G74" s="5" t="s">
        <v>17</v>
      </c>
      <c r="H74" s="6">
        <v>0.0</v>
      </c>
    </row>
    <row r="75" spans="8:8" ht="23.85" hidden="1">
      <c r="A75" s="2">
        <v>873.0</v>
      </c>
      <c r="B75" s="3" t="s">
        <v>8</v>
      </c>
      <c r="C75" s="3" t="s">
        <v>9</v>
      </c>
      <c r="D75" s="4" t="s">
        <v>14</v>
      </c>
      <c r="E75" s="4" t="s">
        <v>15</v>
      </c>
      <c r="F75" s="4" t="s">
        <v>16</v>
      </c>
      <c r="G75" s="5" t="s">
        <v>17</v>
      </c>
      <c r="H75" s="6">
        <v>0.0</v>
      </c>
    </row>
    <row r="76" spans="8:8" ht="23.85" hidden="1">
      <c r="A76" s="2">
        <v>874.0</v>
      </c>
      <c r="B76" s="3" t="s">
        <v>8</v>
      </c>
      <c r="C76" s="3" t="s">
        <v>9</v>
      </c>
      <c r="D76" s="4" t="s">
        <v>14</v>
      </c>
      <c r="E76" s="4" t="s">
        <v>15</v>
      </c>
      <c r="F76" s="4" t="s">
        <v>16</v>
      </c>
      <c r="G76" s="5" t="s">
        <v>17</v>
      </c>
      <c r="H76" s="6">
        <v>0.0</v>
      </c>
    </row>
    <row r="77" spans="8:8" ht="23.85" hidden="1">
      <c r="A77" s="2">
        <v>875.0</v>
      </c>
      <c r="B77" s="3" t="s">
        <v>8</v>
      </c>
      <c r="C77" s="3" t="s">
        <v>9</v>
      </c>
      <c r="D77" s="4" t="s">
        <v>14</v>
      </c>
      <c r="E77" s="4" t="s">
        <v>15</v>
      </c>
      <c r="F77" s="4" t="s">
        <v>16</v>
      </c>
      <c r="G77" s="5" t="s">
        <v>17</v>
      </c>
      <c r="H77" s="6">
        <v>0.0</v>
      </c>
    </row>
    <row r="78" spans="8:8" ht="23.85" hidden="1">
      <c r="A78" s="2">
        <v>876.0</v>
      </c>
      <c r="B78" s="3" t="s">
        <v>8</v>
      </c>
      <c r="C78" s="3" t="s">
        <v>9</v>
      </c>
      <c r="D78" s="4" t="s">
        <v>14</v>
      </c>
      <c r="E78" s="4" t="s">
        <v>15</v>
      </c>
      <c r="F78" s="4" t="s">
        <v>16</v>
      </c>
      <c r="G78" s="5" t="s">
        <v>17</v>
      </c>
      <c r="H78" s="6">
        <v>0.0</v>
      </c>
    </row>
    <row r="79" spans="8:8" ht="23.85" hidden="1">
      <c r="A79" s="2">
        <v>877.0</v>
      </c>
      <c r="B79" s="3" t="s">
        <v>8</v>
      </c>
      <c r="C79" s="3" t="s">
        <v>9</v>
      </c>
      <c r="D79" s="4" t="s">
        <v>14</v>
      </c>
      <c r="E79" s="4" t="s">
        <v>15</v>
      </c>
      <c r="F79" s="4" t="s">
        <v>16</v>
      </c>
      <c r="G79" s="5" t="s">
        <v>17</v>
      </c>
      <c r="H79" s="6">
        <v>0.0</v>
      </c>
    </row>
    <row r="80" spans="8:8" ht="15.0">
      <c r="A80" s="2">
        <v>878.0</v>
      </c>
      <c r="B80" s="7" t="s">
        <v>8</v>
      </c>
      <c r="C80" s="7" t="s">
        <v>18</v>
      </c>
      <c r="D80" s="8" t="s">
        <v>44</v>
      </c>
      <c r="E80" s="8" t="s">
        <v>39</v>
      </c>
      <c r="F80" s="8" t="s">
        <v>40</v>
      </c>
      <c r="G80" s="9" t="s">
        <v>45</v>
      </c>
      <c r="H80" s="10">
        <v>3.0</v>
      </c>
    </row>
    <row r="81" spans="8:8" ht="35.05">
      <c r="A81" s="2">
        <v>879.0</v>
      </c>
      <c r="B81" s="7" t="s">
        <v>8</v>
      </c>
      <c r="C81" s="12" t="s">
        <v>18</v>
      </c>
      <c r="D81" s="8" t="s">
        <v>46</v>
      </c>
      <c r="E81" s="8" t="s">
        <v>39</v>
      </c>
      <c r="F81" s="8" t="s">
        <v>21</v>
      </c>
      <c r="G81" s="9" t="s">
        <v>47</v>
      </c>
      <c r="H81" s="13">
        <v>4.0</v>
      </c>
    </row>
    <row r="82" spans="8:8" ht="15.0">
      <c r="A82" s="2">
        <v>880.0</v>
      </c>
      <c r="B82" s="7" t="s">
        <v>8</v>
      </c>
      <c r="C82" s="12" t="s">
        <v>18</v>
      </c>
      <c r="D82" s="8" t="s">
        <v>48</v>
      </c>
      <c r="E82" s="8" t="s">
        <v>39</v>
      </c>
      <c r="F82" s="8" t="s">
        <v>21</v>
      </c>
      <c r="G82" s="9" t="s">
        <v>49</v>
      </c>
      <c r="H82" s="13">
        <v>4.0</v>
      </c>
    </row>
    <row r="83" spans="8:8" ht="23.85" hidden="1">
      <c r="A83" s="2">
        <v>881.0</v>
      </c>
      <c r="B83" s="3" t="s">
        <v>8</v>
      </c>
      <c r="C83" s="3" t="s">
        <v>9</v>
      </c>
      <c r="D83" s="4" t="s">
        <v>14</v>
      </c>
      <c r="E83" s="4" t="s">
        <v>15</v>
      </c>
      <c r="F83" s="4" t="s">
        <v>16</v>
      </c>
      <c r="G83" s="5" t="s">
        <v>17</v>
      </c>
      <c r="H83" s="6">
        <v>0.0</v>
      </c>
    </row>
    <row r="84" spans="8:8" ht="23.85" hidden="1">
      <c r="A84" s="2">
        <v>882.0</v>
      </c>
      <c r="B84" s="3" t="s">
        <v>8</v>
      </c>
      <c r="C84" s="3" t="s">
        <v>9</v>
      </c>
      <c r="D84" s="4" t="s">
        <v>14</v>
      </c>
      <c r="E84" s="4" t="s">
        <v>15</v>
      </c>
      <c r="F84" s="4" t="s">
        <v>16</v>
      </c>
      <c r="G84" s="5" t="s">
        <v>17</v>
      </c>
      <c r="H84" s="6">
        <v>0.0</v>
      </c>
    </row>
    <row r="85" spans="8:8" ht="15.0">
      <c r="A85" s="2">
        <v>883.0</v>
      </c>
      <c r="B85" s="7" t="s">
        <v>8</v>
      </c>
      <c r="C85" s="7" t="s">
        <v>18</v>
      </c>
      <c r="D85" s="8" t="s">
        <v>50</v>
      </c>
      <c r="E85" s="8" t="s">
        <v>51</v>
      </c>
      <c r="F85" s="8" t="s">
        <v>40</v>
      </c>
      <c r="G85" s="9" t="s">
        <v>52</v>
      </c>
      <c r="H85" s="10">
        <v>3.0</v>
      </c>
    </row>
    <row r="86" spans="8:8" ht="23.85" hidden="1">
      <c r="A86" s="2">
        <v>884.0</v>
      </c>
      <c r="B86" s="3" t="s">
        <v>8</v>
      </c>
      <c r="C86" s="3" t="s">
        <v>9</v>
      </c>
      <c r="D86" s="4" t="s">
        <v>14</v>
      </c>
      <c r="E86" s="4" t="s">
        <v>15</v>
      </c>
      <c r="F86" s="4" t="s">
        <v>16</v>
      </c>
      <c r="G86" s="5" t="s">
        <v>17</v>
      </c>
      <c r="H86" s="6">
        <v>0.0</v>
      </c>
    </row>
    <row r="87" spans="8:8" ht="23.85" hidden="1">
      <c r="A87" s="2">
        <v>885.0</v>
      </c>
      <c r="B87" s="3" t="s">
        <v>8</v>
      </c>
      <c r="C87" s="3" t="s">
        <v>9</v>
      </c>
      <c r="D87" s="4" t="s">
        <v>14</v>
      </c>
      <c r="E87" s="4" t="s">
        <v>15</v>
      </c>
      <c r="F87" s="4" t="s">
        <v>16</v>
      </c>
      <c r="G87" s="5" t="s">
        <v>17</v>
      </c>
      <c r="H87" s="6">
        <v>0.0</v>
      </c>
    </row>
    <row r="88" spans="8:8" ht="23.85" hidden="1">
      <c r="A88" s="2">
        <v>886.0</v>
      </c>
      <c r="B88" s="3" t="s">
        <v>8</v>
      </c>
      <c r="C88" s="3" t="s">
        <v>9</v>
      </c>
      <c r="D88" s="4" t="s">
        <v>14</v>
      </c>
      <c r="E88" s="4" t="s">
        <v>15</v>
      </c>
      <c r="F88" s="4" t="s">
        <v>16</v>
      </c>
      <c r="G88" s="5" t="s">
        <v>17</v>
      </c>
      <c r="H88" s="6">
        <v>0.0</v>
      </c>
    </row>
    <row r="89" spans="8:8" ht="23.85" hidden="1">
      <c r="A89" s="2">
        <v>887.0</v>
      </c>
      <c r="B89" s="3" t="s">
        <v>8</v>
      </c>
      <c r="C89" s="3" t="s">
        <v>9</v>
      </c>
      <c r="D89" s="4" t="s">
        <v>14</v>
      </c>
      <c r="E89" s="4" t="s">
        <v>15</v>
      </c>
      <c r="F89" s="4" t="s">
        <v>16</v>
      </c>
      <c r="G89" s="5" t="s">
        <v>17</v>
      </c>
      <c r="H89" s="6">
        <v>0.0</v>
      </c>
    </row>
    <row r="90" spans="8:8" ht="23.85" hidden="1">
      <c r="A90" s="2">
        <v>888.0</v>
      </c>
      <c r="B90" s="3" t="s">
        <v>8</v>
      </c>
      <c r="C90" s="3" t="s">
        <v>9</v>
      </c>
      <c r="D90" s="4" t="s">
        <v>14</v>
      </c>
      <c r="E90" s="4" t="s">
        <v>15</v>
      </c>
      <c r="F90" s="4" t="s">
        <v>16</v>
      </c>
      <c r="G90" s="5" t="s">
        <v>17</v>
      </c>
      <c r="H90" s="6">
        <v>0.0</v>
      </c>
    </row>
    <row r="91" spans="8:8" ht="23.85" hidden="1">
      <c r="A91" s="2">
        <v>889.0</v>
      </c>
      <c r="B91" s="3" t="s">
        <v>8</v>
      </c>
      <c r="C91" s="3" t="s">
        <v>9</v>
      </c>
      <c r="D91" s="4" t="s">
        <v>14</v>
      </c>
      <c r="E91" s="4" t="s">
        <v>15</v>
      </c>
      <c r="F91" s="4" t="s">
        <v>16</v>
      </c>
      <c r="G91" s="5" t="s">
        <v>17</v>
      </c>
      <c r="H91" s="6">
        <v>0.0</v>
      </c>
    </row>
    <row r="92" spans="8:8" ht="23.85" hidden="1">
      <c r="A92" s="2">
        <v>890.0</v>
      </c>
      <c r="B92" s="3" t="s">
        <v>8</v>
      </c>
      <c r="C92" s="3" t="s">
        <v>9</v>
      </c>
      <c r="D92" s="4" t="s">
        <v>14</v>
      </c>
      <c r="E92" s="4" t="s">
        <v>15</v>
      </c>
      <c r="F92" s="4" t="s">
        <v>16</v>
      </c>
      <c r="G92" s="5" t="s">
        <v>17</v>
      </c>
      <c r="H92" s="6">
        <v>0.0</v>
      </c>
    </row>
    <row r="93" spans="8:8" ht="23.85" hidden="1">
      <c r="A93" s="2">
        <v>891.0</v>
      </c>
      <c r="B93" s="3" t="s">
        <v>8</v>
      </c>
      <c r="C93" s="3" t="s">
        <v>9</v>
      </c>
      <c r="D93" s="4" t="s">
        <v>14</v>
      </c>
      <c r="E93" s="4" t="s">
        <v>15</v>
      </c>
      <c r="F93" s="4" t="s">
        <v>16</v>
      </c>
      <c r="G93" s="5" t="s">
        <v>17</v>
      </c>
      <c r="H93" s="6">
        <v>0.0</v>
      </c>
    </row>
    <row r="94" spans="8:8" ht="23.85" hidden="1">
      <c r="A94" s="2">
        <v>892.0</v>
      </c>
      <c r="B94" s="3" t="s">
        <v>8</v>
      </c>
      <c r="C94" s="3" t="s">
        <v>9</v>
      </c>
      <c r="D94" s="4" t="s">
        <v>14</v>
      </c>
      <c r="E94" s="4" t="s">
        <v>15</v>
      </c>
      <c r="F94" s="4" t="s">
        <v>16</v>
      </c>
      <c r="G94" s="5" t="s">
        <v>17</v>
      </c>
      <c r="H94" s="6">
        <v>0.0</v>
      </c>
    </row>
    <row r="95" spans="8:8" ht="23.85" hidden="1">
      <c r="A95" s="2">
        <v>893.0</v>
      </c>
      <c r="B95" s="3" t="s">
        <v>8</v>
      </c>
      <c r="C95" s="3" t="s">
        <v>9</v>
      </c>
      <c r="D95" s="4" t="s">
        <v>14</v>
      </c>
      <c r="E95" s="4" t="s">
        <v>15</v>
      </c>
      <c r="F95" s="4" t="s">
        <v>16</v>
      </c>
      <c r="G95" s="5" t="s">
        <v>17</v>
      </c>
      <c r="H95" s="6">
        <v>0.0</v>
      </c>
    </row>
    <row r="96" spans="8:8" ht="23.85" hidden="1">
      <c r="A96" s="2">
        <v>894.0</v>
      </c>
      <c r="B96" s="3" t="s">
        <v>8</v>
      </c>
      <c r="C96" s="3" t="s">
        <v>9</v>
      </c>
      <c r="D96" s="4" t="s">
        <v>14</v>
      </c>
      <c r="E96" s="4" t="s">
        <v>15</v>
      </c>
      <c r="F96" s="4" t="s">
        <v>16</v>
      </c>
      <c r="G96" s="5" t="s">
        <v>17</v>
      </c>
      <c r="H96" s="6">
        <v>0.0</v>
      </c>
    </row>
    <row r="97" spans="8:8" ht="23.85" hidden="1">
      <c r="A97" s="2">
        <v>895.0</v>
      </c>
      <c r="B97" s="3" t="s">
        <v>8</v>
      </c>
      <c r="C97" s="3" t="s">
        <v>9</v>
      </c>
      <c r="D97" s="4" t="s">
        <v>14</v>
      </c>
      <c r="E97" s="4" t="s">
        <v>15</v>
      </c>
      <c r="F97" s="4" t="s">
        <v>16</v>
      </c>
      <c r="G97" s="5" t="s">
        <v>17</v>
      </c>
      <c r="H97" s="6">
        <v>0.0</v>
      </c>
    </row>
    <row r="98" spans="8:8" ht="23.85" hidden="1">
      <c r="A98" s="2">
        <v>896.0</v>
      </c>
      <c r="B98" s="3" t="s">
        <v>8</v>
      </c>
      <c r="C98" s="3" t="s">
        <v>9</v>
      </c>
      <c r="D98" s="4" t="s">
        <v>14</v>
      </c>
      <c r="E98" s="4" t="s">
        <v>15</v>
      </c>
      <c r="F98" s="4" t="s">
        <v>16</v>
      </c>
      <c r="G98" s="5" t="s">
        <v>17</v>
      </c>
      <c r="H98" s="6">
        <v>0.0</v>
      </c>
    </row>
    <row r="99" spans="8:8" ht="23.85" hidden="1">
      <c r="A99" s="2">
        <v>897.0</v>
      </c>
      <c r="B99" s="3" t="s">
        <v>8</v>
      </c>
      <c r="C99" s="3" t="s">
        <v>9</v>
      </c>
      <c r="D99" s="4" t="s">
        <v>14</v>
      </c>
      <c r="E99" s="4" t="s">
        <v>15</v>
      </c>
      <c r="F99" s="4" t="s">
        <v>16</v>
      </c>
      <c r="G99" s="5" t="s">
        <v>17</v>
      </c>
      <c r="H99" s="6">
        <v>0.0</v>
      </c>
    </row>
    <row r="100" spans="8:8" ht="23.85" hidden="1">
      <c r="A100" s="2">
        <v>898.0</v>
      </c>
      <c r="B100" s="3" t="s">
        <v>8</v>
      </c>
      <c r="C100" s="3" t="s">
        <v>9</v>
      </c>
      <c r="D100" s="4" t="s">
        <v>14</v>
      </c>
      <c r="E100" s="4" t="s">
        <v>15</v>
      </c>
      <c r="F100" s="4" t="s">
        <v>16</v>
      </c>
      <c r="G100" s="5" t="s">
        <v>17</v>
      </c>
      <c r="H100" s="6">
        <v>0.0</v>
      </c>
    </row>
    <row r="101" spans="8:8" ht="23.85" hidden="1">
      <c r="A101" s="2">
        <v>899.0</v>
      </c>
      <c r="B101" s="3" t="s">
        <v>8</v>
      </c>
      <c r="C101" s="3" t="s">
        <v>9</v>
      </c>
      <c r="D101" s="4" t="s">
        <v>14</v>
      </c>
      <c r="E101" s="4" t="s">
        <v>15</v>
      </c>
      <c r="F101" s="4" t="s">
        <v>16</v>
      </c>
      <c r="G101" s="5" t="s">
        <v>17</v>
      </c>
      <c r="H101" s="6">
        <v>0.0</v>
      </c>
    </row>
    <row r="102" spans="8:8" ht="23.85" hidden="1">
      <c r="A102" s="2">
        <v>900.0</v>
      </c>
      <c r="B102" s="3" t="s">
        <v>8</v>
      </c>
      <c r="C102" s="3" t="s">
        <v>9</v>
      </c>
      <c r="D102" s="4" t="s">
        <v>14</v>
      </c>
      <c r="E102" s="4" t="s">
        <v>15</v>
      </c>
      <c r="F102" s="4" t="s">
        <v>16</v>
      </c>
      <c r="G102" s="5" t="s">
        <v>17</v>
      </c>
      <c r="H102" s="6">
        <v>0.0</v>
      </c>
    </row>
    <row r="103" spans="8:8" ht="23.85" hidden="1">
      <c r="A103" s="2">
        <v>901.0</v>
      </c>
      <c r="B103" s="3" t="s">
        <v>8</v>
      </c>
      <c r="C103" s="3" t="s">
        <v>9</v>
      </c>
      <c r="D103" s="4" t="s">
        <v>14</v>
      </c>
      <c r="E103" s="4" t="s">
        <v>15</v>
      </c>
      <c r="F103" s="4" t="s">
        <v>16</v>
      </c>
      <c r="G103" s="5" t="s">
        <v>17</v>
      </c>
      <c r="H103" s="6">
        <v>0.0</v>
      </c>
    </row>
    <row r="104" spans="8:8" ht="23.85" hidden="1">
      <c r="A104" s="2">
        <v>902.0</v>
      </c>
      <c r="B104" s="3" t="s">
        <v>8</v>
      </c>
      <c r="C104" s="3" t="s">
        <v>9</v>
      </c>
      <c r="D104" s="4" t="s">
        <v>14</v>
      </c>
      <c r="E104" s="4" t="s">
        <v>15</v>
      </c>
      <c r="F104" s="4" t="s">
        <v>16</v>
      </c>
      <c r="G104" s="5" t="s">
        <v>17</v>
      </c>
      <c r="H104" s="6">
        <v>0.0</v>
      </c>
    </row>
    <row r="105" spans="8:8" ht="23.85" hidden="1">
      <c r="A105" s="2">
        <v>903.0</v>
      </c>
      <c r="B105" s="3" t="s">
        <v>8</v>
      </c>
      <c r="C105" s="3" t="s">
        <v>9</v>
      </c>
      <c r="D105" s="4" t="s">
        <v>14</v>
      </c>
      <c r="E105" s="4" t="s">
        <v>15</v>
      </c>
      <c r="F105" s="4" t="s">
        <v>16</v>
      </c>
      <c r="G105" s="5" t="s">
        <v>17</v>
      </c>
      <c r="H105" s="6">
        <v>0.0</v>
      </c>
    </row>
    <row r="106" spans="8:8" ht="23.85" hidden="1">
      <c r="A106" s="2">
        <v>904.0</v>
      </c>
      <c r="B106" s="3" t="s">
        <v>8</v>
      </c>
      <c r="C106" s="3" t="s">
        <v>9</v>
      </c>
      <c r="D106" s="4" t="s">
        <v>14</v>
      </c>
      <c r="E106" s="4" t="s">
        <v>15</v>
      </c>
      <c r="F106" s="4" t="s">
        <v>16</v>
      </c>
      <c r="G106" s="5" t="s">
        <v>17</v>
      </c>
      <c r="H106" s="6">
        <v>0.0</v>
      </c>
    </row>
    <row r="107" spans="8:8" ht="23.85" hidden="1">
      <c r="A107" s="2">
        <v>905.0</v>
      </c>
      <c r="B107" s="3" t="s">
        <v>8</v>
      </c>
      <c r="C107" s="3" t="s">
        <v>9</v>
      </c>
      <c r="D107" s="4" t="s">
        <v>14</v>
      </c>
      <c r="E107" s="4" t="s">
        <v>15</v>
      </c>
      <c r="F107" s="4" t="s">
        <v>16</v>
      </c>
      <c r="G107" s="5" t="s">
        <v>17</v>
      </c>
      <c r="H107" s="6">
        <v>0.0</v>
      </c>
    </row>
    <row r="108" spans="8:8" ht="23.85" hidden="1">
      <c r="A108" s="2">
        <v>906.0</v>
      </c>
      <c r="B108" s="3" t="s">
        <v>8</v>
      </c>
      <c r="C108" s="3" t="s">
        <v>9</v>
      </c>
      <c r="D108" s="4" t="s">
        <v>14</v>
      </c>
      <c r="E108" s="4" t="s">
        <v>15</v>
      </c>
      <c r="F108" s="4" t="s">
        <v>16</v>
      </c>
      <c r="G108" s="5" t="s">
        <v>17</v>
      </c>
      <c r="H108" s="6">
        <v>0.0</v>
      </c>
    </row>
    <row r="109" spans="8:8" ht="23.85" hidden="1">
      <c r="A109" s="2">
        <v>907.0</v>
      </c>
      <c r="B109" s="3" t="s">
        <v>8</v>
      </c>
      <c r="C109" s="3" t="s">
        <v>9</v>
      </c>
      <c r="D109" s="4" t="s">
        <v>14</v>
      </c>
      <c r="E109" s="4" t="s">
        <v>15</v>
      </c>
      <c r="F109" s="4" t="s">
        <v>16</v>
      </c>
      <c r="G109" s="5" t="s">
        <v>17</v>
      </c>
      <c r="H109" s="6">
        <v>0.0</v>
      </c>
    </row>
    <row r="110" spans="8:8" ht="35.05">
      <c r="A110" s="2">
        <v>908.0</v>
      </c>
      <c r="B110" s="7" t="s">
        <v>8</v>
      </c>
      <c r="C110" s="7" t="s">
        <v>18</v>
      </c>
      <c r="D110" s="8" t="s">
        <v>53</v>
      </c>
      <c r="E110" s="8" t="s">
        <v>11</v>
      </c>
      <c r="F110" s="8" t="s">
        <v>34</v>
      </c>
      <c r="G110" s="9" t="s">
        <v>54</v>
      </c>
      <c r="H110" s="14">
        <v>1.0</v>
      </c>
    </row>
    <row r="111" spans="8:8" ht="23.85" hidden="1">
      <c r="A111" s="2">
        <v>909.0</v>
      </c>
      <c r="B111" s="3" t="s">
        <v>8</v>
      </c>
      <c r="C111" s="3" t="s">
        <v>9</v>
      </c>
      <c r="D111" s="4" t="s">
        <v>14</v>
      </c>
      <c r="E111" s="4" t="s">
        <v>15</v>
      </c>
      <c r="F111" s="4" t="s">
        <v>16</v>
      </c>
      <c r="G111" s="5" t="s">
        <v>17</v>
      </c>
      <c r="H111" s="6">
        <v>0.0</v>
      </c>
    </row>
    <row r="112" spans="8:8" ht="23.85" hidden="1">
      <c r="A112" s="2">
        <v>910.0</v>
      </c>
      <c r="B112" s="3" t="s">
        <v>8</v>
      </c>
      <c r="C112" s="3" t="s">
        <v>9</v>
      </c>
      <c r="D112" s="4" t="s">
        <v>14</v>
      </c>
      <c r="E112" s="4" t="s">
        <v>15</v>
      </c>
      <c r="F112" s="4" t="s">
        <v>16</v>
      </c>
      <c r="G112" s="5" t="s">
        <v>17</v>
      </c>
      <c r="H112" s="6">
        <v>0.0</v>
      </c>
    </row>
    <row r="113" spans="8:8" ht="23.85" hidden="1">
      <c r="A113" s="2">
        <v>911.0</v>
      </c>
      <c r="B113" s="3" t="s">
        <v>8</v>
      </c>
      <c r="C113" s="3" t="s">
        <v>9</v>
      </c>
      <c r="D113" s="4" t="s">
        <v>14</v>
      </c>
      <c r="E113" s="4" t="s">
        <v>15</v>
      </c>
      <c r="F113" s="4" t="s">
        <v>16</v>
      </c>
      <c r="G113" s="5" t="s">
        <v>17</v>
      </c>
      <c r="H113" s="6">
        <v>0.0</v>
      </c>
    </row>
    <row r="114" spans="8:8" ht="23.85" hidden="1">
      <c r="A114" s="2">
        <v>912.0</v>
      </c>
      <c r="B114" s="3" t="s">
        <v>8</v>
      </c>
      <c r="C114" s="3" t="s">
        <v>9</v>
      </c>
      <c r="D114" s="4" t="s">
        <v>14</v>
      </c>
      <c r="E114" s="4" t="s">
        <v>15</v>
      </c>
      <c r="F114" s="4" t="s">
        <v>16</v>
      </c>
      <c r="G114" s="5" t="s">
        <v>17</v>
      </c>
      <c r="H114" s="6">
        <v>0.0</v>
      </c>
    </row>
    <row r="115" spans="8:8" ht="23.85" hidden="1">
      <c r="A115" s="2">
        <v>913.0</v>
      </c>
      <c r="B115" s="3" t="s">
        <v>8</v>
      </c>
      <c r="C115" s="3" t="s">
        <v>9</v>
      </c>
      <c r="D115" s="4" t="s">
        <v>14</v>
      </c>
      <c r="E115" s="4" t="s">
        <v>15</v>
      </c>
      <c r="F115" s="4" t="s">
        <v>16</v>
      </c>
      <c r="G115" s="5" t="s">
        <v>17</v>
      </c>
      <c r="H115" s="6">
        <v>0.0</v>
      </c>
    </row>
    <row r="116" spans="8:8" ht="23.85" hidden="1">
      <c r="A116" s="2">
        <v>914.0</v>
      </c>
      <c r="B116" s="3" t="s">
        <v>8</v>
      </c>
      <c r="C116" s="3" t="s">
        <v>9</v>
      </c>
      <c r="D116" s="4" t="s">
        <v>14</v>
      </c>
      <c r="E116" s="4" t="s">
        <v>15</v>
      </c>
      <c r="F116" s="4" t="s">
        <v>16</v>
      </c>
      <c r="G116" s="5" t="s">
        <v>17</v>
      </c>
      <c r="H116" s="6">
        <v>0.0</v>
      </c>
    </row>
    <row r="117" spans="8:8" ht="23.85" hidden="1">
      <c r="A117" s="2">
        <v>915.0</v>
      </c>
      <c r="B117" s="3" t="s">
        <v>8</v>
      </c>
      <c r="C117" s="3" t="s">
        <v>9</v>
      </c>
      <c r="D117" s="4" t="s">
        <v>14</v>
      </c>
      <c r="E117" s="4" t="s">
        <v>15</v>
      </c>
      <c r="F117" s="4" t="s">
        <v>16</v>
      </c>
      <c r="G117" s="5" t="s">
        <v>17</v>
      </c>
      <c r="H117" s="6">
        <v>0.0</v>
      </c>
    </row>
    <row r="118" spans="8:8" ht="23.85" hidden="1">
      <c r="A118" s="2">
        <v>916.0</v>
      </c>
      <c r="B118" s="3" t="s">
        <v>8</v>
      </c>
      <c r="C118" s="3" t="s">
        <v>9</v>
      </c>
      <c r="D118" s="4" t="s">
        <v>14</v>
      </c>
      <c r="E118" s="4" t="s">
        <v>15</v>
      </c>
      <c r="F118" s="4" t="s">
        <v>16</v>
      </c>
      <c r="G118" s="5" t="s">
        <v>17</v>
      </c>
      <c r="H118" s="6">
        <v>0.0</v>
      </c>
    </row>
    <row r="119" spans="8:8" ht="23.85" hidden="1">
      <c r="A119" s="2">
        <v>917.0</v>
      </c>
      <c r="B119" s="3" t="s">
        <v>8</v>
      </c>
      <c r="C119" s="3" t="s">
        <v>9</v>
      </c>
      <c r="D119" s="4" t="s">
        <v>14</v>
      </c>
      <c r="E119" s="4" t="s">
        <v>15</v>
      </c>
      <c r="F119" s="4" t="s">
        <v>16</v>
      </c>
      <c r="G119" s="5" t="s">
        <v>17</v>
      </c>
      <c r="H119" s="6">
        <v>0.0</v>
      </c>
    </row>
    <row r="120" spans="8:8" ht="23.85" hidden="1">
      <c r="A120" s="2">
        <v>918.0</v>
      </c>
      <c r="B120" s="3" t="s">
        <v>8</v>
      </c>
      <c r="C120" s="3" t="s">
        <v>9</v>
      </c>
      <c r="D120" s="4" t="s">
        <v>14</v>
      </c>
      <c r="E120" s="4" t="s">
        <v>15</v>
      </c>
      <c r="F120" s="4" t="s">
        <v>16</v>
      </c>
      <c r="G120" s="5" t="s">
        <v>17</v>
      </c>
      <c r="H120" s="6">
        <v>0.0</v>
      </c>
    </row>
    <row r="121" spans="8:8" ht="23.85" hidden="1">
      <c r="A121" s="2">
        <v>919.0</v>
      </c>
      <c r="B121" s="3" t="s">
        <v>8</v>
      </c>
      <c r="C121" s="3" t="s">
        <v>9</v>
      </c>
      <c r="D121" s="4" t="s">
        <v>14</v>
      </c>
      <c r="E121" s="4" t="s">
        <v>15</v>
      </c>
      <c r="F121" s="4" t="s">
        <v>16</v>
      </c>
      <c r="G121" s="5" t="s">
        <v>17</v>
      </c>
      <c r="H121" s="6">
        <v>0.0</v>
      </c>
    </row>
    <row r="122" spans="8:8" ht="23.85" hidden="1">
      <c r="A122" s="2">
        <v>920.0</v>
      </c>
      <c r="B122" s="3" t="s">
        <v>8</v>
      </c>
      <c r="C122" s="3" t="s">
        <v>9</v>
      </c>
      <c r="D122" s="4" t="s">
        <v>14</v>
      </c>
      <c r="E122" s="4" t="s">
        <v>15</v>
      </c>
      <c r="F122" s="4" t="s">
        <v>16</v>
      </c>
      <c r="G122" s="5" t="s">
        <v>17</v>
      </c>
      <c r="H122" s="6">
        <v>0.0</v>
      </c>
    </row>
    <row r="123" spans="8:8" ht="23.85" hidden="1">
      <c r="A123" s="2">
        <v>921.0</v>
      </c>
      <c r="B123" s="3" t="s">
        <v>8</v>
      </c>
      <c r="C123" s="3" t="s">
        <v>9</v>
      </c>
      <c r="D123" s="4" t="s">
        <v>14</v>
      </c>
      <c r="E123" s="4" t="s">
        <v>15</v>
      </c>
      <c r="F123" s="4" t="s">
        <v>16</v>
      </c>
      <c r="G123" s="5" t="s">
        <v>17</v>
      </c>
      <c r="H123" s="6">
        <v>0.0</v>
      </c>
    </row>
    <row r="124" spans="8:8" ht="23.85" hidden="1">
      <c r="A124" s="2">
        <v>922.0</v>
      </c>
      <c r="B124" s="3" t="s">
        <v>8</v>
      </c>
      <c r="C124" s="3" t="s">
        <v>9</v>
      </c>
      <c r="D124" s="4" t="s">
        <v>14</v>
      </c>
      <c r="E124" s="4" t="s">
        <v>15</v>
      </c>
      <c r="F124" s="4" t="s">
        <v>16</v>
      </c>
      <c r="G124" s="5" t="s">
        <v>17</v>
      </c>
      <c r="H124" s="6">
        <v>0.0</v>
      </c>
    </row>
    <row r="125" spans="8:8" ht="23.85">
      <c r="A125" s="2">
        <v>923.0</v>
      </c>
      <c r="B125" s="7" t="s">
        <v>8</v>
      </c>
      <c r="C125" s="7" t="s">
        <v>18</v>
      </c>
      <c r="D125" s="8" t="s">
        <v>55</v>
      </c>
      <c r="E125" s="8" t="s">
        <v>33</v>
      </c>
      <c r="F125" s="8" t="s">
        <v>34</v>
      </c>
      <c r="G125" s="9" t="s">
        <v>56</v>
      </c>
      <c r="H125" s="10">
        <v>3.0</v>
      </c>
    </row>
    <row r="126" spans="8:8" ht="23.85" hidden="1">
      <c r="A126" s="2">
        <v>924.0</v>
      </c>
      <c r="B126" s="3" t="s">
        <v>8</v>
      </c>
      <c r="C126" s="3" t="s">
        <v>9</v>
      </c>
      <c r="D126" s="4" t="s">
        <v>14</v>
      </c>
      <c r="E126" s="4" t="s">
        <v>15</v>
      </c>
      <c r="F126" s="4" t="s">
        <v>16</v>
      </c>
      <c r="G126" s="5" t="s">
        <v>17</v>
      </c>
      <c r="H126" s="6">
        <v>0.0</v>
      </c>
    </row>
    <row r="127" spans="8:8" ht="23.85" hidden="1">
      <c r="A127" s="2">
        <v>925.0</v>
      </c>
      <c r="B127" s="3" t="s">
        <v>8</v>
      </c>
      <c r="C127" s="3" t="s">
        <v>9</v>
      </c>
      <c r="D127" s="4" t="s">
        <v>14</v>
      </c>
      <c r="E127" s="4" t="s">
        <v>15</v>
      </c>
      <c r="F127" s="4" t="s">
        <v>16</v>
      </c>
      <c r="G127" s="5" t="s">
        <v>17</v>
      </c>
      <c r="H127" s="6">
        <v>0.0</v>
      </c>
    </row>
    <row r="128" spans="8:8" ht="23.85" hidden="1">
      <c r="A128" s="2">
        <v>926.0</v>
      </c>
      <c r="B128" s="3" t="s">
        <v>8</v>
      </c>
      <c r="C128" s="3" t="s">
        <v>9</v>
      </c>
      <c r="D128" s="4" t="s">
        <v>14</v>
      </c>
      <c r="E128" s="4" t="s">
        <v>15</v>
      </c>
      <c r="F128" s="4" t="s">
        <v>16</v>
      </c>
      <c r="G128" s="5" t="s">
        <v>17</v>
      </c>
      <c r="H128" s="6">
        <v>0.0</v>
      </c>
    </row>
    <row r="129" spans="8:8" ht="23.85" hidden="1">
      <c r="A129" s="2">
        <v>927.0</v>
      </c>
      <c r="B129" s="3" t="s">
        <v>8</v>
      </c>
      <c r="C129" s="3" t="s">
        <v>9</v>
      </c>
      <c r="D129" s="4" t="s">
        <v>14</v>
      </c>
      <c r="E129" s="4" t="s">
        <v>15</v>
      </c>
      <c r="F129" s="4" t="s">
        <v>16</v>
      </c>
      <c r="G129" s="5" t="s">
        <v>17</v>
      </c>
      <c r="H129" s="6">
        <v>0.0</v>
      </c>
    </row>
    <row r="130" spans="8:8" ht="23.85" hidden="1">
      <c r="A130" s="2">
        <v>928.0</v>
      </c>
      <c r="B130" s="3" t="s">
        <v>8</v>
      </c>
      <c r="C130" s="3" t="s">
        <v>9</v>
      </c>
      <c r="D130" s="4" t="s">
        <v>14</v>
      </c>
      <c r="E130" s="4" t="s">
        <v>15</v>
      </c>
      <c r="F130" s="4" t="s">
        <v>16</v>
      </c>
      <c r="G130" s="5" t="s">
        <v>17</v>
      </c>
      <c r="H130" s="6">
        <v>0.0</v>
      </c>
    </row>
    <row r="131" spans="8:8" ht="23.85" hidden="1">
      <c r="A131" s="2">
        <v>929.0</v>
      </c>
      <c r="B131" s="3" t="s">
        <v>8</v>
      </c>
      <c r="C131" s="3" t="s">
        <v>9</v>
      </c>
      <c r="D131" s="4" t="s">
        <v>14</v>
      </c>
      <c r="E131" s="4" t="s">
        <v>15</v>
      </c>
      <c r="F131" s="4" t="s">
        <v>16</v>
      </c>
      <c r="G131" s="5" t="s">
        <v>17</v>
      </c>
      <c r="H131" s="6">
        <v>0.0</v>
      </c>
    </row>
    <row r="132" spans="8:8" ht="23.85" hidden="1">
      <c r="A132" s="2">
        <v>930.0</v>
      </c>
      <c r="B132" s="3" t="s">
        <v>8</v>
      </c>
      <c r="C132" s="3" t="s">
        <v>9</v>
      </c>
      <c r="D132" s="4" t="s">
        <v>14</v>
      </c>
      <c r="E132" s="4" t="s">
        <v>15</v>
      </c>
      <c r="F132" s="4" t="s">
        <v>16</v>
      </c>
      <c r="G132" s="5" t="s">
        <v>17</v>
      </c>
      <c r="H132" s="6">
        <v>0.0</v>
      </c>
    </row>
    <row r="133" spans="8:8" ht="23.85" hidden="1">
      <c r="A133" s="2">
        <v>931.0</v>
      </c>
      <c r="B133" s="3" t="s">
        <v>8</v>
      </c>
      <c r="C133" s="3" t="s">
        <v>9</v>
      </c>
      <c r="D133" s="4" t="s">
        <v>14</v>
      </c>
      <c r="E133" s="4" t="s">
        <v>15</v>
      </c>
      <c r="F133" s="4" t="s">
        <v>16</v>
      </c>
      <c r="G133" s="5" t="s">
        <v>17</v>
      </c>
      <c r="H133" s="6">
        <v>0.0</v>
      </c>
    </row>
    <row r="134" spans="8:8" ht="15.0">
      <c r="A134" s="2">
        <v>932.0</v>
      </c>
      <c r="B134" s="7" t="s">
        <v>8</v>
      </c>
      <c r="C134" s="12" t="s">
        <v>18</v>
      </c>
      <c r="D134" s="8" t="s">
        <v>57</v>
      </c>
      <c r="E134" s="8" t="s">
        <v>33</v>
      </c>
      <c r="F134" s="8" t="s">
        <v>34</v>
      </c>
      <c r="G134" s="9" t="s">
        <v>58</v>
      </c>
      <c r="H134" s="13">
        <v>4.0</v>
      </c>
    </row>
    <row r="135" spans="8:8" ht="23.85" hidden="1">
      <c r="A135" s="2">
        <v>933.0</v>
      </c>
      <c r="B135" s="3" t="s">
        <v>8</v>
      </c>
      <c r="C135" s="3" t="s">
        <v>9</v>
      </c>
      <c r="D135" s="4" t="s">
        <v>14</v>
      </c>
      <c r="E135" s="4" t="s">
        <v>15</v>
      </c>
      <c r="F135" s="4" t="s">
        <v>16</v>
      </c>
      <c r="G135" s="5" t="s">
        <v>17</v>
      </c>
      <c r="H135" s="6">
        <v>0.0</v>
      </c>
    </row>
    <row r="136" spans="8:8" ht="23.85" hidden="1">
      <c r="A136" s="2">
        <v>934.0</v>
      </c>
      <c r="B136" s="3" t="s">
        <v>8</v>
      </c>
      <c r="C136" s="3" t="s">
        <v>9</v>
      </c>
      <c r="D136" s="4" t="s">
        <v>14</v>
      </c>
      <c r="E136" s="4" t="s">
        <v>15</v>
      </c>
      <c r="F136" s="4" t="s">
        <v>16</v>
      </c>
      <c r="G136" s="5" t="s">
        <v>17</v>
      </c>
      <c r="H136" s="6">
        <v>0.0</v>
      </c>
    </row>
    <row r="137" spans="8:8" ht="23.85">
      <c r="A137" s="2">
        <v>935.0</v>
      </c>
      <c r="B137" s="7" t="s">
        <v>8</v>
      </c>
      <c r="C137" s="12" t="s">
        <v>18</v>
      </c>
      <c r="D137" s="8" t="s">
        <v>59</v>
      </c>
      <c r="E137" s="8" t="s">
        <v>60</v>
      </c>
      <c r="F137" s="8" t="s">
        <v>34</v>
      </c>
      <c r="G137" s="9" t="s">
        <v>61</v>
      </c>
      <c r="H137" s="13">
        <v>4.0</v>
      </c>
    </row>
    <row r="138" spans="8:8" ht="23.85" hidden="1">
      <c r="A138" s="2">
        <v>936.0</v>
      </c>
      <c r="B138" s="3" t="s">
        <v>8</v>
      </c>
      <c r="C138" s="3" t="s">
        <v>9</v>
      </c>
      <c r="D138" s="4" t="s">
        <v>14</v>
      </c>
      <c r="E138" s="4" t="s">
        <v>15</v>
      </c>
      <c r="F138" s="4" t="s">
        <v>16</v>
      </c>
      <c r="G138" s="5" t="s">
        <v>17</v>
      </c>
      <c r="H138" s="6">
        <v>0.0</v>
      </c>
    </row>
    <row r="139" spans="8:8" ht="23.85" hidden="1">
      <c r="A139" s="2">
        <v>937.0</v>
      </c>
      <c r="B139" s="3" t="s">
        <v>8</v>
      </c>
      <c r="C139" s="3" t="s">
        <v>9</v>
      </c>
      <c r="D139" s="4" t="s">
        <v>14</v>
      </c>
      <c r="E139" s="4" t="s">
        <v>15</v>
      </c>
      <c r="F139" s="4" t="s">
        <v>16</v>
      </c>
      <c r="G139" s="5" t="s">
        <v>17</v>
      </c>
      <c r="H139" s="6">
        <v>0.0</v>
      </c>
    </row>
    <row r="140" spans="8:8" ht="23.85" hidden="1">
      <c r="A140" s="2">
        <v>938.0</v>
      </c>
      <c r="B140" s="3" t="s">
        <v>8</v>
      </c>
      <c r="C140" s="3" t="s">
        <v>9</v>
      </c>
      <c r="D140" s="4" t="s">
        <v>14</v>
      </c>
      <c r="E140" s="4" t="s">
        <v>15</v>
      </c>
      <c r="F140" s="4" t="s">
        <v>16</v>
      </c>
      <c r="G140" s="5" t="s">
        <v>17</v>
      </c>
      <c r="H140" s="6">
        <v>0.0</v>
      </c>
    </row>
    <row r="141" spans="8:8" ht="23.85" hidden="1">
      <c r="A141" s="2">
        <v>939.0</v>
      </c>
      <c r="B141" s="3" t="s">
        <v>8</v>
      </c>
      <c r="C141" s="3" t="s">
        <v>9</v>
      </c>
      <c r="D141" s="4" t="s">
        <v>14</v>
      </c>
      <c r="E141" s="4" t="s">
        <v>15</v>
      </c>
      <c r="F141" s="4" t="s">
        <v>16</v>
      </c>
      <c r="G141" s="5" t="s">
        <v>17</v>
      </c>
      <c r="H141" s="6">
        <v>0.0</v>
      </c>
    </row>
    <row r="142" spans="8:8" ht="23.85" hidden="1">
      <c r="A142" s="2">
        <v>940.0</v>
      </c>
      <c r="B142" s="3" t="s">
        <v>8</v>
      </c>
      <c r="C142" s="3" t="s">
        <v>9</v>
      </c>
      <c r="D142" s="4" t="s">
        <v>14</v>
      </c>
      <c r="E142" s="4" t="s">
        <v>15</v>
      </c>
      <c r="F142" s="4" t="s">
        <v>16</v>
      </c>
      <c r="G142" s="5" t="s">
        <v>17</v>
      </c>
      <c r="H142" s="6">
        <v>0.0</v>
      </c>
    </row>
    <row r="143" spans="8:8" ht="23.85" hidden="1">
      <c r="A143" s="2">
        <v>941.0</v>
      </c>
      <c r="B143" s="3" t="s">
        <v>8</v>
      </c>
      <c r="C143" s="3" t="s">
        <v>9</v>
      </c>
      <c r="D143" s="4" t="s">
        <v>14</v>
      </c>
      <c r="E143" s="4" t="s">
        <v>15</v>
      </c>
      <c r="F143" s="4" t="s">
        <v>16</v>
      </c>
      <c r="G143" s="5" t="s">
        <v>17</v>
      </c>
      <c r="H143" s="6">
        <v>0.0</v>
      </c>
    </row>
    <row r="144" spans="8:8" ht="23.85" hidden="1">
      <c r="A144" s="2">
        <v>942.0</v>
      </c>
      <c r="B144" s="3" t="s">
        <v>8</v>
      </c>
      <c r="C144" s="3" t="s">
        <v>9</v>
      </c>
      <c r="D144" s="4" t="s">
        <v>14</v>
      </c>
      <c r="E144" s="4" t="s">
        <v>15</v>
      </c>
      <c r="F144" s="4" t="s">
        <v>16</v>
      </c>
      <c r="G144" s="5" t="s">
        <v>17</v>
      </c>
      <c r="H144" s="6">
        <v>0.0</v>
      </c>
    </row>
    <row r="145" spans="8:8" ht="23.85" hidden="1">
      <c r="A145" s="2">
        <v>943.0</v>
      </c>
      <c r="B145" s="3" t="s">
        <v>8</v>
      </c>
      <c r="C145" s="3" t="s">
        <v>9</v>
      </c>
      <c r="D145" s="4" t="s">
        <v>14</v>
      </c>
      <c r="E145" s="4" t="s">
        <v>15</v>
      </c>
      <c r="F145" s="4" t="s">
        <v>16</v>
      </c>
      <c r="G145" s="5" t="s">
        <v>17</v>
      </c>
      <c r="H145" s="6">
        <v>0.0</v>
      </c>
    </row>
    <row r="146" spans="8:8" ht="23.85" hidden="1">
      <c r="A146" s="2">
        <v>944.0</v>
      </c>
      <c r="B146" s="3" t="s">
        <v>8</v>
      </c>
      <c r="C146" s="3" t="s">
        <v>9</v>
      </c>
      <c r="D146" s="4" t="s">
        <v>14</v>
      </c>
      <c r="E146" s="4" t="s">
        <v>15</v>
      </c>
      <c r="F146" s="4" t="s">
        <v>16</v>
      </c>
      <c r="G146" s="5" t="s">
        <v>17</v>
      </c>
      <c r="H146" s="6">
        <v>0.0</v>
      </c>
    </row>
    <row r="147" spans="8:8" ht="15.0">
      <c r="A147" s="2">
        <v>945.0</v>
      </c>
      <c r="B147" s="7" t="s">
        <v>8</v>
      </c>
      <c r="C147" s="12" t="s">
        <v>18</v>
      </c>
      <c r="D147" s="8" t="s">
        <v>62</v>
      </c>
      <c r="E147" s="8" t="s">
        <v>33</v>
      </c>
      <c r="F147" s="8" t="s">
        <v>34</v>
      </c>
      <c r="G147" s="9" t="s">
        <v>63</v>
      </c>
      <c r="H147" s="13">
        <v>4.0</v>
      </c>
    </row>
    <row r="148" spans="8:8" ht="23.85" hidden="1">
      <c r="A148" s="2">
        <v>946.0</v>
      </c>
      <c r="B148" s="3" t="s">
        <v>8</v>
      </c>
      <c r="C148" s="3" t="s">
        <v>9</v>
      </c>
      <c r="D148" s="4" t="s">
        <v>14</v>
      </c>
      <c r="E148" s="4" t="s">
        <v>15</v>
      </c>
      <c r="F148" s="4" t="s">
        <v>16</v>
      </c>
      <c r="G148" s="5" t="s">
        <v>17</v>
      </c>
      <c r="H148" s="6">
        <v>0.0</v>
      </c>
    </row>
    <row r="149" spans="8:8" ht="23.85" hidden="1">
      <c r="A149" s="2">
        <v>947.0</v>
      </c>
      <c r="B149" s="3" t="s">
        <v>8</v>
      </c>
      <c r="C149" s="3" t="s">
        <v>9</v>
      </c>
      <c r="D149" s="4" t="s">
        <v>14</v>
      </c>
      <c r="E149" s="4" t="s">
        <v>15</v>
      </c>
      <c r="F149" s="4" t="s">
        <v>16</v>
      </c>
      <c r="G149" s="5" t="s">
        <v>17</v>
      </c>
      <c r="H149" s="6">
        <v>0.0</v>
      </c>
    </row>
    <row r="150" spans="8:8" ht="23.85" hidden="1">
      <c r="A150" s="2">
        <v>948.0</v>
      </c>
      <c r="B150" s="3" t="s">
        <v>8</v>
      </c>
      <c r="C150" s="3" t="s">
        <v>9</v>
      </c>
      <c r="D150" s="4" t="s">
        <v>14</v>
      </c>
      <c r="E150" s="4" t="s">
        <v>15</v>
      </c>
      <c r="F150" s="4" t="s">
        <v>16</v>
      </c>
      <c r="G150" s="5" t="s">
        <v>17</v>
      </c>
      <c r="H150" s="6">
        <v>0.0</v>
      </c>
    </row>
    <row r="151" spans="8:8" ht="23.85" hidden="1">
      <c r="A151" s="2">
        <v>949.0</v>
      </c>
      <c r="B151" s="3" t="s">
        <v>8</v>
      </c>
      <c r="C151" s="3" t="s">
        <v>9</v>
      </c>
      <c r="D151" s="4" t="s">
        <v>14</v>
      </c>
      <c r="E151" s="4" t="s">
        <v>15</v>
      </c>
      <c r="F151" s="4" t="s">
        <v>16</v>
      </c>
      <c r="G151" s="5" t="s">
        <v>17</v>
      </c>
      <c r="H151" s="6">
        <v>0.0</v>
      </c>
    </row>
    <row r="152" spans="8:8" ht="23.85" hidden="1">
      <c r="A152" s="2">
        <v>950.0</v>
      </c>
      <c r="B152" s="3" t="s">
        <v>8</v>
      </c>
      <c r="C152" s="3" t="s">
        <v>9</v>
      </c>
      <c r="D152" s="4" t="s">
        <v>14</v>
      </c>
      <c r="E152" s="4" t="s">
        <v>15</v>
      </c>
      <c r="F152" s="4" t="s">
        <v>16</v>
      </c>
      <c r="G152" s="5" t="s">
        <v>17</v>
      </c>
      <c r="H152" s="6">
        <v>0.0</v>
      </c>
    </row>
    <row r="153" spans="8:8" ht="23.85" hidden="1">
      <c r="A153" s="2">
        <v>951.0</v>
      </c>
      <c r="B153" s="3" t="s">
        <v>8</v>
      </c>
      <c r="C153" s="3" t="s">
        <v>9</v>
      </c>
      <c r="D153" s="4" t="s">
        <v>14</v>
      </c>
      <c r="E153" s="4" t="s">
        <v>15</v>
      </c>
      <c r="F153" s="4" t="s">
        <v>16</v>
      </c>
      <c r="G153" s="5" t="s">
        <v>17</v>
      </c>
      <c r="H153" s="6">
        <v>0.0</v>
      </c>
    </row>
    <row r="154" spans="8:8" ht="23.85" hidden="1">
      <c r="A154" s="2">
        <v>952.0</v>
      </c>
      <c r="B154" s="3" t="s">
        <v>8</v>
      </c>
      <c r="C154" s="3" t="s">
        <v>9</v>
      </c>
      <c r="D154" s="4" t="s">
        <v>14</v>
      </c>
      <c r="E154" s="4" t="s">
        <v>15</v>
      </c>
      <c r="F154" s="4" t="s">
        <v>16</v>
      </c>
      <c r="G154" s="5" t="s">
        <v>17</v>
      </c>
      <c r="H154" s="6">
        <v>0.0</v>
      </c>
    </row>
    <row r="155" spans="8:8" ht="23.85" hidden="1">
      <c r="A155" s="2">
        <v>953.0</v>
      </c>
      <c r="B155" s="3" t="s">
        <v>8</v>
      </c>
      <c r="C155" s="3" t="s">
        <v>9</v>
      </c>
      <c r="D155" s="4" t="s">
        <v>14</v>
      </c>
      <c r="E155" s="4" t="s">
        <v>15</v>
      </c>
      <c r="F155" s="4" t="s">
        <v>16</v>
      </c>
      <c r="G155" s="5" t="s">
        <v>17</v>
      </c>
      <c r="H155" s="6">
        <v>0.0</v>
      </c>
    </row>
    <row r="156" spans="8:8" ht="23.85" hidden="1">
      <c r="A156" s="2">
        <v>954.0</v>
      </c>
      <c r="B156" s="3" t="s">
        <v>8</v>
      </c>
      <c r="C156" s="3" t="s">
        <v>9</v>
      </c>
      <c r="D156" s="4" t="s">
        <v>14</v>
      </c>
      <c r="E156" s="4" t="s">
        <v>15</v>
      </c>
      <c r="F156" s="4" t="s">
        <v>16</v>
      </c>
      <c r="G156" s="5" t="s">
        <v>17</v>
      </c>
      <c r="H156" s="6">
        <v>0.0</v>
      </c>
    </row>
    <row r="157" spans="8:8" ht="23.85" hidden="1">
      <c r="A157" s="2">
        <v>955.0</v>
      </c>
      <c r="B157" s="3" t="s">
        <v>8</v>
      </c>
      <c r="C157" s="3" t="s">
        <v>9</v>
      </c>
      <c r="D157" s="4" t="s">
        <v>14</v>
      </c>
      <c r="E157" s="4" t="s">
        <v>15</v>
      </c>
      <c r="F157" s="4" t="s">
        <v>16</v>
      </c>
      <c r="G157" s="5" t="s">
        <v>17</v>
      </c>
      <c r="H157" s="6">
        <v>0.0</v>
      </c>
    </row>
    <row r="158" spans="8:8" ht="23.85" hidden="1">
      <c r="A158" s="2">
        <v>956.0</v>
      </c>
      <c r="B158" s="3" t="s">
        <v>8</v>
      </c>
      <c r="C158" s="3" t="s">
        <v>9</v>
      </c>
      <c r="D158" s="4" t="s">
        <v>14</v>
      </c>
      <c r="E158" s="4" t="s">
        <v>15</v>
      </c>
      <c r="F158" s="4" t="s">
        <v>16</v>
      </c>
      <c r="G158" s="5" t="s">
        <v>17</v>
      </c>
      <c r="H158" s="6">
        <v>0.0</v>
      </c>
    </row>
    <row r="159" spans="8:8" ht="23.85" hidden="1">
      <c r="A159" s="2">
        <v>957.0</v>
      </c>
      <c r="B159" s="3" t="s">
        <v>8</v>
      </c>
      <c r="C159" s="3" t="s">
        <v>9</v>
      </c>
      <c r="D159" s="4" t="s">
        <v>14</v>
      </c>
      <c r="E159" s="4" t="s">
        <v>15</v>
      </c>
      <c r="F159" s="4" t="s">
        <v>16</v>
      </c>
      <c r="G159" s="5" t="s">
        <v>17</v>
      </c>
      <c r="H159" s="6">
        <v>0.0</v>
      </c>
    </row>
    <row r="160" spans="8:8" ht="23.85" hidden="1">
      <c r="A160" s="2">
        <v>958.0</v>
      </c>
      <c r="B160" s="3" t="s">
        <v>8</v>
      </c>
      <c r="C160" s="3" t="s">
        <v>9</v>
      </c>
      <c r="D160" s="4" t="s">
        <v>14</v>
      </c>
      <c r="E160" s="4" t="s">
        <v>15</v>
      </c>
      <c r="F160" s="4" t="s">
        <v>16</v>
      </c>
      <c r="G160" s="5" t="s">
        <v>17</v>
      </c>
      <c r="H160" s="6">
        <v>0.0</v>
      </c>
    </row>
    <row r="161" spans="8:8" ht="23.85" hidden="1">
      <c r="A161" s="2">
        <v>959.0</v>
      </c>
      <c r="B161" s="3" t="s">
        <v>8</v>
      </c>
      <c r="C161" s="3" t="s">
        <v>9</v>
      </c>
      <c r="D161" s="4" t="s">
        <v>14</v>
      </c>
      <c r="E161" s="4" t="s">
        <v>15</v>
      </c>
      <c r="F161" s="4" t="s">
        <v>16</v>
      </c>
      <c r="G161" s="5" t="s">
        <v>17</v>
      </c>
      <c r="H161" s="6">
        <v>0.0</v>
      </c>
    </row>
    <row r="162" spans="8:8" ht="23.85" hidden="1">
      <c r="A162" s="2">
        <v>960.0</v>
      </c>
      <c r="B162" s="3" t="s">
        <v>8</v>
      </c>
      <c r="C162" s="3" t="s">
        <v>9</v>
      </c>
      <c r="D162" s="4" t="s">
        <v>14</v>
      </c>
      <c r="E162" s="4" t="s">
        <v>15</v>
      </c>
      <c r="F162" s="4" t="s">
        <v>16</v>
      </c>
      <c r="G162" s="5" t="s">
        <v>17</v>
      </c>
      <c r="H162" s="6">
        <v>0.0</v>
      </c>
    </row>
    <row r="163" spans="8:8" ht="23.85" hidden="1">
      <c r="A163" s="2">
        <v>961.0</v>
      </c>
      <c r="B163" s="3" t="s">
        <v>8</v>
      </c>
      <c r="C163" s="3" t="s">
        <v>9</v>
      </c>
      <c r="D163" s="4" t="s">
        <v>14</v>
      </c>
      <c r="E163" s="4" t="s">
        <v>15</v>
      </c>
      <c r="F163" s="4" t="s">
        <v>16</v>
      </c>
      <c r="G163" s="5" t="s">
        <v>17</v>
      </c>
      <c r="H163" s="6">
        <v>0.0</v>
      </c>
    </row>
    <row r="164" spans="8:8" ht="23.85" hidden="1">
      <c r="A164" s="2">
        <v>962.0</v>
      </c>
      <c r="B164" s="3" t="s">
        <v>8</v>
      </c>
      <c r="C164" s="3" t="s">
        <v>9</v>
      </c>
      <c r="D164" s="4" t="s">
        <v>14</v>
      </c>
      <c r="E164" s="4" t="s">
        <v>15</v>
      </c>
      <c r="F164" s="4" t="s">
        <v>16</v>
      </c>
      <c r="G164" s="5" t="s">
        <v>17</v>
      </c>
      <c r="H164" s="6">
        <v>0.0</v>
      </c>
    </row>
    <row r="165" spans="8:8" ht="23.85" hidden="1">
      <c r="A165" s="2">
        <v>963.0</v>
      </c>
      <c r="B165" s="3" t="s">
        <v>8</v>
      </c>
      <c r="C165" s="3" t="s">
        <v>9</v>
      </c>
      <c r="D165" s="4" t="s">
        <v>14</v>
      </c>
      <c r="E165" s="4" t="s">
        <v>15</v>
      </c>
      <c r="F165" s="4" t="s">
        <v>16</v>
      </c>
      <c r="G165" s="5" t="s">
        <v>17</v>
      </c>
      <c r="H165" s="6">
        <v>0.0</v>
      </c>
    </row>
    <row r="166" spans="8:8" ht="23.85" hidden="1">
      <c r="A166" s="2">
        <v>964.0</v>
      </c>
      <c r="B166" s="3" t="s">
        <v>8</v>
      </c>
      <c r="C166" s="3" t="s">
        <v>9</v>
      </c>
      <c r="D166" s="4" t="s">
        <v>14</v>
      </c>
      <c r="E166" s="4" t="s">
        <v>15</v>
      </c>
      <c r="F166" s="4" t="s">
        <v>16</v>
      </c>
      <c r="G166" s="5" t="s">
        <v>17</v>
      </c>
      <c r="H166" s="6">
        <v>0.0</v>
      </c>
    </row>
    <row r="167" spans="8:8" ht="23.85" hidden="1">
      <c r="A167" s="2">
        <v>965.0</v>
      </c>
      <c r="B167" s="3" t="s">
        <v>8</v>
      </c>
      <c r="C167" s="3" t="s">
        <v>9</v>
      </c>
      <c r="D167" s="4" t="s">
        <v>14</v>
      </c>
      <c r="E167" s="4" t="s">
        <v>15</v>
      </c>
      <c r="F167" s="4" t="s">
        <v>16</v>
      </c>
      <c r="G167" s="5" t="s">
        <v>17</v>
      </c>
      <c r="H167" s="6">
        <v>0.0</v>
      </c>
    </row>
    <row r="168" spans="8:8" ht="23.85" hidden="1">
      <c r="A168" s="2">
        <v>966.0</v>
      </c>
      <c r="B168" s="3" t="s">
        <v>8</v>
      </c>
      <c r="C168" s="3" t="s">
        <v>9</v>
      </c>
      <c r="D168" s="4" t="s">
        <v>14</v>
      </c>
      <c r="E168" s="4" t="s">
        <v>15</v>
      </c>
      <c r="F168" s="4" t="s">
        <v>16</v>
      </c>
      <c r="G168" s="5" t="s">
        <v>17</v>
      </c>
      <c r="H168" s="6">
        <v>0.0</v>
      </c>
    </row>
    <row r="169" spans="8:8" ht="23.85" hidden="1">
      <c r="A169" s="2">
        <v>967.0</v>
      </c>
      <c r="B169" s="3" t="s">
        <v>8</v>
      </c>
      <c r="C169" s="3" t="s">
        <v>9</v>
      </c>
      <c r="D169" s="4" t="s">
        <v>14</v>
      </c>
      <c r="E169" s="4" t="s">
        <v>15</v>
      </c>
      <c r="F169" s="4" t="s">
        <v>16</v>
      </c>
      <c r="G169" s="5" t="s">
        <v>17</v>
      </c>
      <c r="H169" s="6">
        <v>0.0</v>
      </c>
    </row>
    <row r="170" spans="8:8" ht="23.85" hidden="1">
      <c r="A170" s="2">
        <v>968.0</v>
      </c>
      <c r="B170" s="3" t="s">
        <v>8</v>
      </c>
      <c r="C170" s="3" t="s">
        <v>9</v>
      </c>
      <c r="D170" s="4" t="s">
        <v>14</v>
      </c>
      <c r="E170" s="4" t="s">
        <v>15</v>
      </c>
      <c r="F170" s="4" t="s">
        <v>16</v>
      </c>
      <c r="G170" s="5" t="s">
        <v>17</v>
      </c>
      <c r="H170" s="6">
        <v>0.0</v>
      </c>
    </row>
    <row r="171" spans="8:8" ht="23.85" hidden="1">
      <c r="A171" s="2">
        <v>969.0</v>
      </c>
      <c r="B171" s="3" t="s">
        <v>8</v>
      </c>
      <c r="C171" s="3" t="s">
        <v>9</v>
      </c>
      <c r="D171" s="4" t="s">
        <v>64</v>
      </c>
      <c r="E171" s="4" t="s">
        <v>11</v>
      </c>
      <c r="F171" s="4" t="s">
        <v>65</v>
      </c>
      <c r="G171" s="5" t="s">
        <v>66</v>
      </c>
      <c r="H171" s="6">
        <v>0.0</v>
      </c>
    </row>
    <row r="172" spans="8:8" ht="23.85" hidden="1">
      <c r="A172" s="2">
        <v>970.0</v>
      </c>
      <c r="B172" s="3" t="s">
        <v>8</v>
      </c>
      <c r="C172" s="3" t="s">
        <v>9</v>
      </c>
      <c r="D172" s="4" t="s">
        <v>14</v>
      </c>
      <c r="E172" s="4" t="s">
        <v>15</v>
      </c>
      <c r="F172" s="4" t="s">
        <v>16</v>
      </c>
      <c r="G172" s="5" t="s">
        <v>17</v>
      </c>
      <c r="H172" s="6">
        <v>0.0</v>
      </c>
    </row>
    <row r="173" spans="8:8" ht="23.85" hidden="1">
      <c r="A173" s="2">
        <v>971.0</v>
      </c>
      <c r="B173" s="3" t="s">
        <v>8</v>
      </c>
      <c r="C173" s="3" t="s">
        <v>9</v>
      </c>
      <c r="D173" s="4" t="s">
        <v>14</v>
      </c>
      <c r="E173" s="4" t="s">
        <v>15</v>
      </c>
      <c r="F173" s="4" t="s">
        <v>16</v>
      </c>
      <c r="G173" s="5" t="s">
        <v>17</v>
      </c>
      <c r="H173" s="6">
        <v>0.0</v>
      </c>
    </row>
    <row r="174" spans="8:8" ht="23.85" hidden="1">
      <c r="A174" s="2">
        <v>972.0</v>
      </c>
      <c r="B174" s="3" t="s">
        <v>8</v>
      </c>
      <c r="C174" s="3" t="s">
        <v>9</v>
      </c>
      <c r="D174" s="4" t="s">
        <v>14</v>
      </c>
      <c r="E174" s="4" t="s">
        <v>15</v>
      </c>
      <c r="F174" s="4" t="s">
        <v>16</v>
      </c>
      <c r="G174" s="5" t="s">
        <v>17</v>
      </c>
      <c r="H174" s="6">
        <v>0.0</v>
      </c>
    </row>
    <row r="175" spans="8:8" ht="23.85" hidden="1">
      <c r="A175" s="2">
        <v>973.0</v>
      </c>
      <c r="B175" s="3" t="s">
        <v>8</v>
      </c>
      <c r="C175" s="3" t="s">
        <v>9</v>
      </c>
      <c r="D175" s="4" t="s">
        <v>14</v>
      </c>
      <c r="E175" s="4" t="s">
        <v>15</v>
      </c>
      <c r="F175" s="4" t="s">
        <v>16</v>
      </c>
      <c r="G175" s="5" t="s">
        <v>17</v>
      </c>
      <c r="H175" s="6">
        <v>0.0</v>
      </c>
    </row>
    <row r="176" spans="8:8" ht="23.85" hidden="1">
      <c r="A176" s="2">
        <v>974.0</v>
      </c>
      <c r="B176" s="3" t="s">
        <v>8</v>
      </c>
      <c r="C176" s="3" t="s">
        <v>9</v>
      </c>
      <c r="D176" s="4" t="s">
        <v>14</v>
      </c>
      <c r="E176" s="4" t="s">
        <v>15</v>
      </c>
      <c r="F176" s="4" t="s">
        <v>16</v>
      </c>
      <c r="G176" s="5" t="s">
        <v>17</v>
      </c>
      <c r="H176" s="6">
        <v>0.0</v>
      </c>
    </row>
    <row r="177" spans="8:8" ht="23.85" hidden="1">
      <c r="A177" s="2">
        <v>975.0</v>
      </c>
      <c r="B177" s="3" t="s">
        <v>8</v>
      </c>
      <c r="C177" s="3" t="s">
        <v>9</v>
      </c>
      <c r="D177" s="4" t="s">
        <v>14</v>
      </c>
      <c r="E177" s="4" t="s">
        <v>15</v>
      </c>
      <c r="F177" s="4" t="s">
        <v>16</v>
      </c>
      <c r="G177" s="5" t="s">
        <v>17</v>
      </c>
      <c r="H177" s="6">
        <v>0.0</v>
      </c>
    </row>
    <row r="178" spans="8:8" ht="23.85" hidden="1">
      <c r="A178" s="2">
        <v>976.0</v>
      </c>
      <c r="B178" s="3" t="s">
        <v>8</v>
      </c>
      <c r="C178" s="3" t="s">
        <v>9</v>
      </c>
      <c r="D178" s="4" t="s">
        <v>14</v>
      </c>
      <c r="E178" s="4" t="s">
        <v>15</v>
      </c>
      <c r="F178" s="4" t="s">
        <v>16</v>
      </c>
      <c r="G178" s="5" t="s">
        <v>17</v>
      </c>
      <c r="H178" s="6">
        <v>0.0</v>
      </c>
    </row>
    <row r="179" spans="8:8" ht="23.85" hidden="1">
      <c r="A179" s="2">
        <v>977.0</v>
      </c>
      <c r="B179" s="3" t="s">
        <v>8</v>
      </c>
      <c r="C179" s="3" t="s">
        <v>9</v>
      </c>
      <c r="D179" s="4" t="s">
        <v>14</v>
      </c>
      <c r="E179" s="4" t="s">
        <v>15</v>
      </c>
      <c r="F179" s="4" t="s">
        <v>16</v>
      </c>
      <c r="G179" s="5" t="s">
        <v>17</v>
      </c>
      <c r="H179" s="6">
        <v>0.0</v>
      </c>
    </row>
    <row r="180" spans="8:8" ht="23.85" hidden="1">
      <c r="A180" s="2">
        <v>978.0</v>
      </c>
      <c r="B180" s="3" t="s">
        <v>8</v>
      </c>
      <c r="C180" s="3" t="s">
        <v>9</v>
      </c>
      <c r="D180" s="4" t="s">
        <v>14</v>
      </c>
      <c r="E180" s="4" t="s">
        <v>15</v>
      </c>
      <c r="F180" s="4" t="s">
        <v>16</v>
      </c>
      <c r="G180" s="5" t="s">
        <v>17</v>
      </c>
      <c r="H180" s="6">
        <v>0.0</v>
      </c>
    </row>
    <row r="181" spans="8:8" ht="23.85" hidden="1">
      <c r="A181" s="2">
        <v>979.0</v>
      </c>
      <c r="B181" s="3" t="s">
        <v>8</v>
      </c>
      <c r="C181" s="3" t="s">
        <v>9</v>
      </c>
      <c r="D181" s="4" t="s">
        <v>14</v>
      </c>
      <c r="E181" s="4" t="s">
        <v>15</v>
      </c>
      <c r="F181" s="4" t="s">
        <v>16</v>
      </c>
      <c r="G181" s="5" t="s">
        <v>17</v>
      </c>
      <c r="H181" s="6">
        <v>0.0</v>
      </c>
    </row>
    <row r="182" spans="8:8" ht="23.85" hidden="1">
      <c r="A182" s="2">
        <v>980.0</v>
      </c>
      <c r="B182" s="3" t="s">
        <v>8</v>
      </c>
      <c r="C182" s="3" t="s">
        <v>9</v>
      </c>
      <c r="D182" s="4" t="s">
        <v>14</v>
      </c>
      <c r="E182" s="4" t="s">
        <v>15</v>
      </c>
      <c r="F182" s="4" t="s">
        <v>16</v>
      </c>
      <c r="G182" s="5" t="s">
        <v>17</v>
      </c>
      <c r="H182" s="6">
        <v>0.0</v>
      </c>
    </row>
    <row r="183" spans="8:8" ht="23.85" hidden="1">
      <c r="A183" s="2">
        <v>981.0</v>
      </c>
      <c r="B183" s="3" t="s">
        <v>8</v>
      </c>
      <c r="C183" s="3" t="s">
        <v>9</v>
      </c>
      <c r="D183" s="4" t="s">
        <v>14</v>
      </c>
      <c r="E183" s="4" t="s">
        <v>15</v>
      </c>
      <c r="F183" s="4" t="s">
        <v>16</v>
      </c>
      <c r="G183" s="5" t="s">
        <v>17</v>
      </c>
      <c r="H183" s="6">
        <v>0.0</v>
      </c>
    </row>
    <row r="184" spans="8:8" ht="23.85" hidden="1">
      <c r="A184" s="2">
        <v>982.0</v>
      </c>
      <c r="B184" s="3" t="s">
        <v>8</v>
      </c>
      <c r="C184" s="3" t="s">
        <v>9</v>
      </c>
      <c r="D184" s="4" t="s">
        <v>14</v>
      </c>
      <c r="E184" s="4" t="s">
        <v>15</v>
      </c>
      <c r="F184" s="4" t="s">
        <v>16</v>
      </c>
      <c r="G184" s="5" t="s">
        <v>17</v>
      </c>
      <c r="H184" s="6">
        <v>0.0</v>
      </c>
    </row>
    <row r="185" spans="8:8" ht="23.85" hidden="1">
      <c r="A185" s="2">
        <v>983.0</v>
      </c>
      <c r="B185" s="3" t="s">
        <v>8</v>
      </c>
      <c r="C185" s="3" t="s">
        <v>9</v>
      </c>
      <c r="D185" s="4" t="s">
        <v>14</v>
      </c>
      <c r="E185" s="4" t="s">
        <v>15</v>
      </c>
      <c r="F185" s="4" t="s">
        <v>16</v>
      </c>
      <c r="G185" s="5" t="s">
        <v>17</v>
      </c>
      <c r="H185" s="6">
        <v>0.0</v>
      </c>
    </row>
    <row r="186" spans="8:8" ht="23.85" hidden="1">
      <c r="A186" s="2">
        <v>984.0</v>
      </c>
      <c r="B186" s="3" t="s">
        <v>8</v>
      </c>
      <c r="C186" s="3" t="s">
        <v>9</v>
      </c>
      <c r="D186" s="4" t="s">
        <v>14</v>
      </c>
      <c r="E186" s="4" t="s">
        <v>15</v>
      </c>
      <c r="F186" s="4" t="s">
        <v>16</v>
      </c>
      <c r="G186" s="5" t="s">
        <v>17</v>
      </c>
      <c r="H186" s="6">
        <v>0.0</v>
      </c>
    </row>
    <row r="187" spans="8:8" ht="23.85" hidden="1">
      <c r="A187" s="2">
        <v>985.0</v>
      </c>
      <c r="B187" s="3" t="s">
        <v>8</v>
      </c>
      <c r="C187" s="3" t="s">
        <v>9</v>
      </c>
      <c r="D187" s="4" t="s">
        <v>14</v>
      </c>
      <c r="E187" s="4" t="s">
        <v>15</v>
      </c>
      <c r="F187" s="4" t="s">
        <v>16</v>
      </c>
      <c r="G187" s="5" t="s">
        <v>17</v>
      </c>
      <c r="H187" s="6">
        <v>0.0</v>
      </c>
    </row>
    <row r="188" spans="8:8" ht="23.85" hidden="1">
      <c r="A188" s="2">
        <v>986.0</v>
      </c>
      <c r="B188" s="3" t="s">
        <v>8</v>
      </c>
      <c r="C188" s="3" t="s">
        <v>9</v>
      </c>
      <c r="D188" s="4" t="s">
        <v>14</v>
      </c>
      <c r="E188" s="4" t="s">
        <v>15</v>
      </c>
      <c r="F188" s="4" t="s">
        <v>16</v>
      </c>
      <c r="G188" s="5" t="s">
        <v>17</v>
      </c>
      <c r="H188" s="6">
        <v>0.0</v>
      </c>
    </row>
    <row r="189" spans="8:8" ht="23.85" hidden="1">
      <c r="A189" s="2">
        <v>987.0</v>
      </c>
      <c r="B189" s="3" t="s">
        <v>8</v>
      </c>
      <c r="C189" s="3" t="s">
        <v>9</v>
      </c>
      <c r="D189" s="4" t="s">
        <v>14</v>
      </c>
      <c r="E189" s="4" t="s">
        <v>15</v>
      </c>
      <c r="F189" s="4" t="s">
        <v>16</v>
      </c>
      <c r="G189" s="5" t="s">
        <v>17</v>
      </c>
      <c r="H189" s="6">
        <v>0.0</v>
      </c>
    </row>
    <row r="190" spans="8:8" ht="23.85" hidden="1">
      <c r="A190" s="2">
        <v>988.0</v>
      </c>
      <c r="B190" s="3" t="s">
        <v>8</v>
      </c>
      <c r="C190" s="3" t="s">
        <v>9</v>
      </c>
      <c r="D190" s="4" t="s">
        <v>14</v>
      </c>
      <c r="E190" s="4" t="s">
        <v>15</v>
      </c>
      <c r="F190" s="4" t="s">
        <v>16</v>
      </c>
      <c r="G190" s="5" t="s">
        <v>17</v>
      </c>
      <c r="H190" s="6">
        <v>0.0</v>
      </c>
    </row>
    <row r="191" spans="8:8" ht="23.85" hidden="1">
      <c r="A191" s="2">
        <v>989.0</v>
      </c>
      <c r="B191" s="3" t="s">
        <v>8</v>
      </c>
      <c r="C191" s="3" t="s">
        <v>9</v>
      </c>
      <c r="D191" s="4" t="s">
        <v>14</v>
      </c>
      <c r="E191" s="4" t="s">
        <v>15</v>
      </c>
      <c r="F191" s="4" t="s">
        <v>16</v>
      </c>
      <c r="G191" s="5" t="s">
        <v>17</v>
      </c>
      <c r="H191" s="6">
        <v>0.0</v>
      </c>
    </row>
    <row r="192" spans="8:8" ht="23.85" hidden="1">
      <c r="A192" s="2">
        <v>990.0</v>
      </c>
      <c r="B192" s="3" t="s">
        <v>8</v>
      </c>
      <c r="C192" s="3" t="s">
        <v>9</v>
      </c>
      <c r="D192" s="4" t="s">
        <v>14</v>
      </c>
      <c r="E192" s="4" t="s">
        <v>15</v>
      </c>
      <c r="F192" s="4" t="s">
        <v>16</v>
      </c>
      <c r="G192" s="5" t="s">
        <v>17</v>
      </c>
      <c r="H192" s="6">
        <v>0.0</v>
      </c>
    </row>
    <row r="193" spans="8:8" ht="15.0">
      <c r="A193" s="2">
        <v>991.0</v>
      </c>
      <c r="B193" s="7" t="s">
        <v>8</v>
      </c>
      <c r="C193" s="7" t="s">
        <v>18</v>
      </c>
      <c r="D193" s="8" t="s">
        <v>67</v>
      </c>
      <c r="E193" s="8" t="s">
        <v>68</v>
      </c>
      <c r="F193" s="8" t="s">
        <v>69</v>
      </c>
      <c r="G193" s="9" t="s">
        <v>70</v>
      </c>
      <c r="H193" s="10">
        <v>3.0</v>
      </c>
    </row>
    <row r="194" spans="8:8" ht="23.85" hidden="1">
      <c r="A194" s="2">
        <v>992.0</v>
      </c>
      <c r="B194" s="3" t="s">
        <v>8</v>
      </c>
      <c r="C194" s="3" t="s">
        <v>9</v>
      </c>
      <c r="D194" s="4" t="s">
        <v>14</v>
      </c>
      <c r="E194" s="4" t="s">
        <v>15</v>
      </c>
      <c r="F194" s="4" t="s">
        <v>16</v>
      </c>
      <c r="G194" s="5" t="s">
        <v>17</v>
      </c>
      <c r="H194" s="6">
        <v>0.0</v>
      </c>
    </row>
    <row r="195" spans="8:8" ht="23.85" hidden="1">
      <c r="A195" s="2">
        <v>993.0</v>
      </c>
      <c r="B195" s="3" t="s">
        <v>8</v>
      </c>
      <c r="C195" s="3" t="s">
        <v>9</v>
      </c>
      <c r="D195" s="4" t="s">
        <v>14</v>
      </c>
      <c r="E195" s="4" t="s">
        <v>15</v>
      </c>
      <c r="F195" s="4" t="s">
        <v>16</v>
      </c>
      <c r="G195" s="5" t="s">
        <v>17</v>
      </c>
      <c r="H195" s="6">
        <v>0.0</v>
      </c>
    </row>
    <row r="196" spans="8:8" ht="15.0">
      <c r="A196" s="2">
        <v>994.0</v>
      </c>
      <c r="B196" s="7" t="s">
        <v>8</v>
      </c>
      <c r="C196" s="7" t="s">
        <v>18</v>
      </c>
      <c r="D196" s="8" t="s">
        <v>71</v>
      </c>
      <c r="E196" s="8" t="s">
        <v>68</v>
      </c>
      <c r="F196" s="8" t="s">
        <v>69</v>
      </c>
      <c r="G196" s="9" t="s">
        <v>72</v>
      </c>
      <c r="H196" s="10">
        <v>3.0</v>
      </c>
    </row>
    <row r="197" spans="8:8" ht="23.85" hidden="1">
      <c r="A197" s="2">
        <v>995.0</v>
      </c>
      <c r="B197" s="3" t="s">
        <v>8</v>
      </c>
      <c r="C197" s="3" t="s">
        <v>9</v>
      </c>
      <c r="D197" s="4" t="s">
        <v>14</v>
      </c>
      <c r="E197" s="4" t="s">
        <v>15</v>
      </c>
      <c r="F197" s="4" t="s">
        <v>16</v>
      </c>
      <c r="G197" s="5" t="s">
        <v>17</v>
      </c>
      <c r="H197" s="6">
        <v>0.0</v>
      </c>
    </row>
    <row r="198" spans="8:8" ht="23.85" hidden="1">
      <c r="A198" s="2">
        <v>996.0</v>
      </c>
      <c r="B198" s="3" t="s">
        <v>8</v>
      </c>
      <c r="C198" s="3" t="s">
        <v>9</v>
      </c>
      <c r="D198" s="4" t="s">
        <v>14</v>
      </c>
      <c r="E198" s="4" t="s">
        <v>15</v>
      </c>
      <c r="F198" s="4" t="s">
        <v>16</v>
      </c>
      <c r="G198" s="5" t="s">
        <v>17</v>
      </c>
      <c r="H198" s="6">
        <v>0.0</v>
      </c>
    </row>
    <row r="199" spans="8:8" ht="23.85" hidden="1">
      <c r="A199" s="2">
        <v>997.0</v>
      </c>
      <c r="B199" s="3" t="s">
        <v>8</v>
      </c>
      <c r="C199" s="3" t="s">
        <v>9</v>
      </c>
      <c r="D199" s="4" t="s">
        <v>14</v>
      </c>
      <c r="E199" s="4" t="s">
        <v>15</v>
      </c>
      <c r="F199" s="4" t="s">
        <v>16</v>
      </c>
      <c r="G199" s="5" t="s">
        <v>17</v>
      </c>
      <c r="H199" s="6">
        <v>0.0</v>
      </c>
    </row>
    <row r="200" spans="8:8" ht="23.85" hidden="1">
      <c r="A200" s="2">
        <v>998.0</v>
      </c>
      <c r="B200" s="3" t="s">
        <v>8</v>
      </c>
      <c r="C200" s="3" t="s">
        <v>9</v>
      </c>
      <c r="D200" s="4" t="s">
        <v>14</v>
      </c>
      <c r="E200" s="4" t="s">
        <v>15</v>
      </c>
      <c r="F200" s="4" t="s">
        <v>16</v>
      </c>
      <c r="G200" s="5" t="s">
        <v>17</v>
      </c>
      <c r="H200" s="6">
        <v>0.0</v>
      </c>
    </row>
    <row r="201" spans="8:8" ht="23.85" hidden="1">
      <c r="A201" s="2">
        <v>999.0</v>
      </c>
      <c r="B201" s="3" t="s">
        <v>8</v>
      </c>
      <c r="C201" s="3" t="s">
        <v>9</v>
      </c>
      <c r="D201" s="4" t="s">
        <v>14</v>
      </c>
      <c r="E201" s="4" t="s">
        <v>15</v>
      </c>
      <c r="F201" s="4" t="s">
        <v>16</v>
      </c>
      <c r="G201" s="5" t="s">
        <v>17</v>
      </c>
      <c r="H201" s="6">
        <v>0.0</v>
      </c>
    </row>
    <row r="202" spans="8:8" ht="23.85" hidden="1">
      <c r="A202" s="2">
        <v>1000.0</v>
      </c>
      <c r="B202" s="3" t="s">
        <v>8</v>
      </c>
      <c r="C202" s="3" t="s">
        <v>9</v>
      </c>
      <c r="D202" s="4" t="s">
        <v>14</v>
      </c>
      <c r="E202" s="4" t="s">
        <v>15</v>
      </c>
      <c r="F202" s="4" t="s">
        <v>16</v>
      </c>
      <c r="G202" s="5" t="s">
        <v>17</v>
      </c>
      <c r="H202" s="6">
        <v>0.0</v>
      </c>
    </row>
    <row r="203" spans="8:8" ht="23.85" hidden="1">
      <c r="A203" s="2">
        <v>1001.0</v>
      </c>
      <c r="B203" s="3" t="s">
        <v>8</v>
      </c>
      <c r="C203" s="3" t="s">
        <v>9</v>
      </c>
      <c r="D203" s="4" t="s">
        <v>14</v>
      </c>
      <c r="E203" s="4" t="s">
        <v>15</v>
      </c>
      <c r="F203" s="4" t="s">
        <v>16</v>
      </c>
      <c r="G203" s="5" t="s">
        <v>17</v>
      </c>
      <c r="H203" s="6">
        <v>0.0</v>
      </c>
    </row>
    <row r="204" spans="8:8" ht="15.0">
      <c r="A204" s="2">
        <v>1002.0</v>
      </c>
      <c r="B204" s="7" t="s">
        <v>8</v>
      </c>
      <c r="C204" s="7" t="s">
        <v>18</v>
      </c>
      <c r="D204" s="8" t="s">
        <v>73</v>
      </c>
      <c r="E204" s="8" t="s">
        <v>68</v>
      </c>
      <c r="F204" s="8" t="s">
        <v>69</v>
      </c>
      <c r="G204" s="9" t="s">
        <v>74</v>
      </c>
      <c r="H204" s="10">
        <v>3.0</v>
      </c>
    </row>
    <row r="205" spans="8:8" ht="23.85" hidden="1">
      <c r="A205" s="2">
        <v>1003.0</v>
      </c>
      <c r="B205" s="3" t="s">
        <v>8</v>
      </c>
      <c r="C205" s="3" t="s">
        <v>9</v>
      </c>
      <c r="D205" s="4" t="s">
        <v>14</v>
      </c>
      <c r="E205" s="4" t="s">
        <v>15</v>
      </c>
      <c r="F205" s="4" t="s">
        <v>16</v>
      </c>
      <c r="G205" s="5" t="s">
        <v>17</v>
      </c>
      <c r="H205" s="6">
        <v>0.0</v>
      </c>
    </row>
    <row r="206" spans="8:8" ht="15.0">
      <c r="A206" s="2">
        <v>1004.0</v>
      </c>
      <c r="B206" s="7" t="s">
        <v>8</v>
      </c>
      <c r="C206" s="7" t="s">
        <v>18</v>
      </c>
      <c r="D206" s="8" t="s">
        <v>75</v>
      </c>
      <c r="E206" s="8" t="s">
        <v>27</v>
      </c>
      <c r="F206" s="8" t="s">
        <v>65</v>
      </c>
      <c r="G206" s="9" t="s">
        <v>76</v>
      </c>
      <c r="H206" s="11">
        <v>2.0</v>
      </c>
    </row>
    <row r="207" spans="8:8" ht="23.85" hidden="1">
      <c r="A207" s="2">
        <v>1005.0</v>
      </c>
      <c r="B207" s="3" t="s">
        <v>8</v>
      </c>
      <c r="C207" s="3" t="s">
        <v>9</v>
      </c>
      <c r="D207" s="4" t="s">
        <v>14</v>
      </c>
      <c r="E207" s="4" t="s">
        <v>15</v>
      </c>
      <c r="F207" s="4" t="s">
        <v>16</v>
      </c>
      <c r="G207" s="5" t="s">
        <v>17</v>
      </c>
      <c r="H207" s="6">
        <v>0.0</v>
      </c>
    </row>
    <row r="208" spans="8:8" ht="23.85" hidden="1">
      <c r="A208" s="2">
        <v>1006.0</v>
      </c>
      <c r="B208" s="3" t="s">
        <v>8</v>
      </c>
      <c r="C208" s="3" t="s">
        <v>9</v>
      </c>
      <c r="D208" s="4" t="s">
        <v>14</v>
      </c>
      <c r="E208" s="4" t="s">
        <v>15</v>
      </c>
      <c r="F208" s="4" t="s">
        <v>16</v>
      </c>
      <c r="G208" s="5" t="s">
        <v>17</v>
      </c>
      <c r="H208" s="6">
        <v>0.0</v>
      </c>
    </row>
    <row r="209" spans="8:8" ht="15.0">
      <c r="A209" s="2">
        <v>1007.0</v>
      </c>
      <c r="B209" s="7" t="s">
        <v>8</v>
      </c>
      <c r="C209" s="12" t="s">
        <v>18</v>
      </c>
      <c r="D209" s="8" t="s">
        <v>77</v>
      </c>
      <c r="E209" s="8" t="s">
        <v>68</v>
      </c>
      <c r="F209" s="8" t="s">
        <v>69</v>
      </c>
      <c r="G209" s="9" t="s">
        <v>78</v>
      </c>
      <c r="H209" s="13">
        <v>4.0</v>
      </c>
    </row>
    <row r="210" spans="8:8" ht="23.85" hidden="1">
      <c r="A210" s="2">
        <v>1008.0</v>
      </c>
      <c r="B210" s="3" t="s">
        <v>8</v>
      </c>
      <c r="C210" s="3" t="s">
        <v>9</v>
      </c>
      <c r="D210" s="4" t="s">
        <v>14</v>
      </c>
      <c r="E210" s="4" t="s">
        <v>15</v>
      </c>
      <c r="F210" s="4" t="s">
        <v>16</v>
      </c>
      <c r="G210" s="5" t="s">
        <v>17</v>
      </c>
      <c r="H210" s="6">
        <v>0.0</v>
      </c>
    </row>
    <row r="211" spans="8:8" ht="23.85" hidden="1">
      <c r="A211" s="2">
        <v>1009.0</v>
      </c>
      <c r="B211" s="3" t="s">
        <v>8</v>
      </c>
      <c r="C211" s="3" t="s">
        <v>9</v>
      </c>
      <c r="D211" s="4" t="s">
        <v>14</v>
      </c>
      <c r="E211" s="4" t="s">
        <v>15</v>
      </c>
      <c r="F211" s="4" t="s">
        <v>16</v>
      </c>
      <c r="G211" s="5" t="s">
        <v>17</v>
      </c>
      <c r="H211" s="6">
        <v>0.0</v>
      </c>
    </row>
    <row r="212" spans="8:8" ht="23.85" hidden="1">
      <c r="A212" s="2">
        <v>1010.0</v>
      </c>
      <c r="B212" s="3" t="s">
        <v>8</v>
      </c>
      <c r="C212" s="3" t="s">
        <v>9</v>
      </c>
      <c r="D212" s="4" t="s">
        <v>14</v>
      </c>
      <c r="E212" s="4" t="s">
        <v>15</v>
      </c>
      <c r="F212" s="4" t="s">
        <v>16</v>
      </c>
      <c r="G212" s="5" t="s">
        <v>17</v>
      </c>
      <c r="H212" s="6">
        <v>0.0</v>
      </c>
    </row>
    <row r="213" spans="8:8" ht="23.85" hidden="1">
      <c r="A213" s="2">
        <v>1011.0</v>
      </c>
      <c r="B213" s="3" t="s">
        <v>8</v>
      </c>
      <c r="C213" s="3" t="s">
        <v>9</v>
      </c>
      <c r="D213" s="4" t="s">
        <v>14</v>
      </c>
      <c r="E213" s="4" t="s">
        <v>15</v>
      </c>
      <c r="F213" s="4" t="s">
        <v>16</v>
      </c>
      <c r="G213" s="5" t="s">
        <v>17</v>
      </c>
      <c r="H213" s="6">
        <v>0.0</v>
      </c>
    </row>
    <row r="214" spans="8:8" ht="15.0">
      <c r="A214" s="2">
        <v>1012.0</v>
      </c>
      <c r="B214" s="7" t="s">
        <v>8</v>
      </c>
      <c r="C214" s="12" t="s">
        <v>18</v>
      </c>
      <c r="D214" s="8" t="s">
        <v>79</v>
      </c>
      <c r="E214" s="8" t="s">
        <v>68</v>
      </c>
      <c r="F214" s="8" t="s">
        <v>69</v>
      </c>
      <c r="G214" s="9" t="s">
        <v>80</v>
      </c>
      <c r="H214" s="13">
        <v>4.0</v>
      </c>
    </row>
    <row r="215" spans="8:8" ht="23.85" hidden="1">
      <c r="A215" s="2">
        <v>1013.0</v>
      </c>
      <c r="B215" s="3" t="s">
        <v>8</v>
      </c>
      <c r="C215" s="3" t="s">
        <v>9</v>
      </c>
      <c r="D215" s="4" t="s">
        <v>14</v>
      </c>
      <c r="E215" s="4" t="s">
        <v>15</v>
      </c>
      <c r="F215" s="4" t="s">
        <v>16</v>
      </c>
      <c r="G215" s="5" t="s">
        <v>17</v>
      </c>
      <c r="H215" s="6">
        <v>0.0</v>
      </c>
    </row>
    <row r="216" spans="8:8" ht="23.85" hidden="1">
      <c r="A216" s="2">
        <v>1014.0</v>
      </c>
      <c r="B216" s="3" t="s">
        <v>8</v>
      </c>
      <c r="C216" s="3" t="s">
        <v>9</v>
      </c>
      <c r="D216" s="4" t="s">
        <v>14</v>
      </c>
      <c r="E216" s="4" t="s">
        <v>15</v>
      </c>
      <c r="F216" s="4" t="s">
        <v>16</v>
      </c>
      <c r="G216" s="5" t="s">
        <v>17</v>
      </c>
      <c r="H216" s="6">
        <v>0.0</v>
      </c>
    </row>
    <row r="217" spans="8:8" ht="23.85" hidden="1">
      <c r="A217" s="2">
        <v>1015.0</v>
      </c>
      <c r="B217" s="3" t="s">
        <v>8</v>
      </c>
      <c r="C217" s="3" t="s">
        <v>9</v>
      </c>
      <c r="D217" s="4" t="s">
        <v>14</v>
      </c>
      <c r="E217" s="4" t="s">
        <v>15</v>
      </c>
      <c r="F217" s="4" t="s">
        <v>16</v>
      </c>
      <c r="G217" s="5" t="s">
        <v>17</v>
      </c>
      <c r="H217" s="6">
        <v>0.0</v>
      </c>
    </row>
    <row r="218" spans="8:8" ht="23.85" hidden="1">
      <c r="A218" s="2">
        <v>1016.0</v>
      </c>
      <c r="B218" s="3" t="s">
        <v>8</v>
      </c>
      <c r="C218" s="3" t="s">
        <v>9</v>
      </c>
      <c r="D218" s="4" t="s">
        <v>14</v>
      </c>
      <c r="E218" s="4" t="s">
        <v>15</v>
      </c>
      <c r="F218" s="4" t="s">
        <v>16</v>
      </c>
      <c r="G218" s="5" t="s">
        <v>17</v>
      </c>
      <c r="H218" s="6">
        <v>0.0</v>
      </c>
    </row>
    <row r="219" spans="8:8" ht="23.85" hidden="1">
      <c r="A219" s="2">
        <v>1017.0</v>
      </c>
      <c r="B219" s="3" t="s">
        <v>8</v>
      </c>
      <c r="C219" s="3" t="s">
        <v>9</v>
      </c>
      <c r="D219" s="4" t="s">
        <v>14</v>
      </c>
      <c r="E219" s="4" t="s">
        <v>15</v>
      </c>
      <c r="F219" s="4" t="s">
        <v>16</v>
      </c>
      <c r="G219" s="5" t="s">
        <v>17</v>
      </c>
      <c r="H219" s="6">
        <v>0.0</v>
      </c>
    </row>
    <row r="220" spans="8:8" ht="23.85">
      <c r="A220" s="2">
        <v>1018.0</v>
      </c>
      <c r="B220" s="7" t="s">
        <v>8</v>
      </c>
      <c r="C220" s="12" t="s">
        <v>18</v>
      </c>
      <c r="D220" s="8" t="s">
        <v>81</v>
      </c>
      <c r="E220" s="8" t="s">
        <v>68</v>
      </c>
      <c r="F220" s="8" t="s">
        <v>69</v>
      </c>
      <c r="G220" s="9" t="s">
        <v>82</v>
      </c>
      <c r="H220" s="13">
        <v>4.0</v>
      </c>
    </row>
    <row r="221" spans="8:8" ht="23.85" hidden="1">
      <c r="A221" s="2">
        <v>1019.0</v>
      </c>
      <c r="B221" s="3" t="s">
        <v>8</v>
      </c>
      <c r="C221" s="3" t="s">
        <v>9</v>
      </c>
      <c r="D221" s="4" t="s">
        <v>14</v>
      </c>
      <c r="E221" s="4" t="s">
        <v>15</v>
      </c>
      <c r="F221" s="4" t="s">
        <v>16</v>
      </c>
      <c r="G221" s="5" t="s">
        <v>17</v>
      </c>
      <c r="H221" s="6">
        <v>0.0</v>
      </c>
    </row>
    <row r="222" spans="8:8" ht="23.85">
      <c r="A222" s="2">
        <v>1020.0</v>
      </c>
      <c r="B222" s="7" t="s">
        <v>8</v>
      </c>
      <c r="C222" s="7" t="s">
        <v>18</v>
      </c>
      <c r="D222" s="8" t="s">
        <v>83</v>
      </c>
      <c r="E222" s="8" t="s">
        <v>84</v>
      </c>
      <c r="F222" s="8" t="s">
        <v>21</v>
      </c>
      <c r="G222" s="9" t="s">
        <v>85</v>
      </c>
      <c r="H222" s="10">
        <v>3.0</v>
      </c>
    </row>
    <row r="223" spans="8:8" ht="23.85" hidden="1">
      <c r="A223" s="2">
        <v>1021.0</v>
      </c>
      <c r="B223" s="3" t="s">
        <v>8</v>
      </c>
      <c r="C223" s="3" t="s">
        <v>9</v>
      </c>
      <c r="D223" s="4" t="s">
        <v>14</v>
      </c>
      <c r="E223" s="4" t="s">
        <v>15</v>
      </c>
      <c r="F223" s="4" t="s">
        <v>16</v>
      </c>
      <c r="G223" s="5" t="s">
        <v>17</v>
      </c>
      <c r="H223" s="6">
        <v>0.0</v>
      </c>
    </row>
    <row r="224" spans="8:8" ht="23.85" hidden="1">
      <c r="A224" s="2">
        <v>1022.0</v>
      </c>
      <c r="B224" s="3" t="s">
        <v>8</v>
      </c>
      <c r="C224" s="3" t="s">
        <v>9</v>
      </c>
      <c r="D224" s="4" t="s">
        <v>14</v>
      </c>
      <c r="E224" s="4" t="s">
        <v>15</v>
      </c>
      <c r="F224" s="4" t="s">
        <v>16</v>
      </c>
      <c r="G224" s="5" t="s">
        <v>17</v>
      </c>
      <c r="H224" s="6">
        <v>0.0</v>
      </c>
    </row>
    <row r="225" spans="8:8" ht="23.85" hidden="1">
      <c r="A225" s="2">
        <v>1023.0</v>
      </c>
      <c r="B225" s="3" t="s">
        <v>8</v>
      </c>
      <c r="C225" s="3" t="s">
        <v>9</v>
      </c>
      <c r="D225" s="4" t="s">
        <v>86</v>
      </c>
      <c r="E225" s="4" t="s">
        <v>11</v>
      </c>
      <c r="F225" s="4" t="s">
        <v>21</v>
      </c>
      <c r="G225" s="5" t="s">
        <v>87</v>
      </c>
      <c r="H225" s="6">
        <v>0.0</v>
      </c>
    </row>
    <row r="226" spans="8:8" ht="23.85" hidden="1">
      <c r="A226" s="2">
        <v>1024.0</v>
      </c>
      <c r="B226" s="3" t="s">
        <v>8</v>
      </c>
      <c r="C226" s="3" t="s">
        <v>9</v>
      </c>
      <c r="D226" s="4" t="s">
        <v>14</v>
      </c>
      <c r="E226" s="4" t="s">
        <v>15</v>
      </c>
      <c r="F226" s="4" t="s">
        <v>16</v>
      </c>
      <c r="G226" s="5" t="s">
        <v>17</v>
      </c>
      <c r="H226" s="6">
        <v>0.0</v>
      </c>
    </row>
    <row r="227" spans="8:8" ht="23.85" hidden="1">
      <c r="A227" s="2">
        <v>1025.0</v>
      </c>
      <c r="B227" s="3" t="s">
        <v>8</v>
      </c>
      <c r="C227" s="3" t="s">
        <v>9</v>
      </c>
      <c r="D227" s="4" t="s">
        <v>14</v>
      </c>
      <c r="E227" s="4" t="s">
        <v>15</v>
      </c>
      <c r="F227" s="4" t="s">
        <v>16</v>
      </c>
      <c r="G227" s="5" t="s">
        <v>17</v>
      </c>
      <c r="H227" s="6">
        <v>0.0</v>
      </c>
    </row>
    <row r="228" spans="8:8" ht="23.85" hidden="1">
      <c r="A228" s="2">
        <v>1026.0</v>
      </c>
      <c r="B228" s="3" t="s">
        <v>8</v>
      </c>
      <c r="C228" s="3" t="s">
        <v>9</v>
      </c>
      <c r="D228" s="4" t="s">
        <v>14</v>
      </c>
      <c r="E228" s="4" t="s">
        <v>15</v>
      </c>
      <c r="F228" s="4" t="s">
        <v>16</v>
      </c>
      <c r="G228" s="5" t="s">
        <v>17</v>
      </c>
      <c r="H228" s="6">
        <v>0.0</v>
      </c>
    </row>
    <row r="229" spans="8:8" ht="23.85" hidden="1">
      <c r="A229" s="2">
        <v>1027.0</v>
      </c>
      <c r="B229" s="3" t="s">
        <v>8</v>
      </c>
      <c r="C229" s="3" t="s">
        <v>9</v>
      </c>
      <c r="D229" s="4" t="s">
        <v>14</v>
      </c>
      <c r="E229" s="4" t="s">
        <v>15</v>
      </c>
      <c r="F229" s="4" t="s">
        <v>16</v>
      </c>
      <c r="G229" s="5" t="s">
        <v>17</v>
      </c>
      <c r="H229" s="6">
        <v>0.0</v>
      </c>
    </row>
    <row r="230" spans="8:8" ht="23.85" hidden="1">
      <c r="A230" s="2">
        <v>1028.0</v>
      </c>
      <c r="B230" s="3" t="s">
        <v>8</v>
      </c>
      <c r="C230" s="3" t="s">
        <v>9</v>
      </c>
      <c r="D230" s="4" t="s">
        <v>14</v>
      </c>
      <c r="E230" s="4" t="s">
        <v>15</v>
      </c>
      <c r="F230" s="4" t="s">
        <v>16</v>
      </c>
      <c r="G230" s="5" t="s">
        <v>17</v>
      </c>
      <c r="H230" s="6">
        <v>0.0</v>
      </c>
    </row>
    <row r="231" spans="8:8" ht="23.85" hidden="1">
      <c r="A231" s="2">
        <v>1029.0</v>
      </c>
      <c r="B231" s="3" t="s">
        <v>8</v>
      </c>
      <c r="C231" s="3" t="s">
        <v>9</v>
      </c>
      <c r="D231" s="4" t="s">
        <v>14</v>
      </c>
      <c r="E231" s="4" t="s">
        <v>15</v>
      </c>
      <c r="F231" s="4" t="s">
        <v>16</v>
      </c>
      <c r="G231" s="5" t="s">
        <v>17</v>
      </c>
      <c r="H231" s="6">
        <v>0.0</v>
      </c>
    </row>
    <row r="232" spans="8:8" ht="23.85">
      <c r="A232" s="2">
        <v>1030.0</v>
      </c>
      <c r="B232" s="7" t="s">
        <v>8</v>
      </c>
      <c r="C232" s="12" t="s">
        <v>18</v>
      </c>
      <c r="D232" s="8" t="s">
        <v>88</v>
      </c>
      <c r="E232" s="8" t="s">
        <v>89</v>
      </c>
      <c r="F232" s="8" t="s">
        <v>90</v>
      </c>
      <c r="G232" s="9" t="s">
        <v>91</v>
      </c>
      <c r="H232" s="13">
        <v>4.0</v>
      </c>
    </row>
    <row r="233" spans="8:8" ht="23.85" hidden="1">
      <c r="A233" s="2">
        <v>1031.0</v>
      </c>
      <c r="B233" s="3" t="s">
        <v>8</v>
      </c>
      <c r="C233" s="3" t="s">
        <v>9</v>
      </c>
      <c r="D233" s="4" t="s">
        <v>14</v>
      </c>
      <c r="E233" s="4" t="s">
        <v>15</v>
      </c>
      <c r="F233" s="4" t="s">
        <v>16</v>
      </c>
      <c r="G233" s="5" t="s">
        <v>17</v>
      </c>
      <c r="H233" s="6">
        <v>0.0</v>
      </c>
    </row>
    <row r="234" spans="8:8" ht="15.0">
      <c r="A234" s="2">
        <v>1032.0</v>
      </c>
      <c r="B234" s="7" t="s">
        <v>8</v>
      </c>
      <c r="C234" s="7" t="s">
        <v>18</v>
      </c>
      <c r="D234" s="8" t="s">
        <v>92</v>
      </c>
      <c r="E234" s="8" t="s">
        <v>93</v>
      </c>
      <c r="F234" s="8" t="s">
        <v>94</v>
      </c>
      <c r="G234" s="9" t="s">
        <v>95</v>
      </c>
      <c r="H234" s="10">
        <v>3.0</v>
      </c>
    </row>
    <row r="235" spans="8:8" ht="23.85" hidden="1">
      <c r="A235" s="2">
        <v>1033.0</v>
      </c>
      <c r="B235" s="3" t="s">
        <v>8</v>
      </c>
      <c r="C235" s="3" t="s">
        <v>9</v>
      </c>
      <c r="D235" s="4" t="s">
        <v>14</v>
      </c>
      <c r="E235" s="4" t="s">
        <v>15</v>
      </c>
      <c r="F235" s="4" t="s">
        <v>16</v>
      </c>
      <c r="G235" s="5" t="s">
        <v>17</v>
      </c>
      <c r="H235" s="6">
        <v>0.0</v>
      </c>
    </row>
    <row r="236" spans="8:8" ht="23.85" hidden="1">
      <c r="A236" s="2">
        <v>1034.0</v>
      </c>
      <c r="B236" s="3" t="s">
        <v>8</v>
      </c>
      <c r="C236" s="3" t="s">
        <v>9</v>
      </c>
      <c r="D236" s="4" t="s">
        <v>14</v>
      </c>
      <c r="E236" s="4" t="s">
        <v>15</v>
      </c>
      <c r="F236" s="4" t="s">
        <v>16</v>
      </c>
      <c r="G236" s="5" t="s">
        <v>17</v>
      </c>
      <c r="H236" s="6">
        <v>0.0</v>
      </c>
    </row>
    <row r="237" spans="8:8" ht="23.85" hidden="1">
      <c r="A237" s="2">
        <v>1035.0</v>
      </c>
      <c r="B237" s="3" t="s">
        <v>8</v>
      </c>
      <c r="C237" s="3" t="s">
        <v>9</v>
      </c>
      <c r="D237" s="4" t="s">
        <v>14</v>
      </c>
      <c r="E237" s="4" t="s">
        <v>15</v>
      </c>
      <c r="F237" s="4" t="s">
        <v>16</v>
      </c>
      <c r="G237" s="5" t="s">
        <v>17</v>
      </c>
      <c r="H237" s="6">
        <v>0.0</v>
      </c>
    </row>
    <row r="238" spans="8:8" ht="23.85" hidden="1">
      <c r="A238" s="2">
        <v>1036.0</v>
      </c>
      <c r="B238" s="3" t="s">
        <v>8</v>
      </c>
      <c r="C238" s="3" t="s">
        <v>9</v>
      </c>
      <c r="D238" s="4" t="s">
        <v>14</v>
      </c>
      <c r="E238" s="4" t="s">
        <v>15</v>
      </c>
      <c r="F238" s="4" t="s">
        <v>16</v>
      </c>
      <c r="G238" s="5" t="s">
        <v>17</v>
      </c>
      <c r="H238" s="6">
        <v>0.0</v>
      </c>
    </row>
    <row r="239" spans="8:8" ht="23.85" hidden="1">
      <c r="A239" s="2">
        <v>1037.0</v>
      </c>
      <c r="B239" s="3" t="s">
        <v>8</v>
      </c>
      <c r="C239" s="3" t="s">
        <v>9</v>
      </c>
      <c r="D239" s="4" t="s">
        <v>14</v>
      </c>
      <c r="E239" s="4" t="s">
        <v>15</v>
      </c>
      <c r="F239" s="4" t="s">
        <v>16</v>
      </c>
      <c r="G239" s="5" t="s">
        <v>17</v>
      </c>
      <c r="H239" s="6">
        <v>0.0</v>
      </c>
    </row>
    <row r="240" spans="8:8" ht="23.85" hidden="1">
      <c r="A240" s="2">
        <v>1038.0</v>
      </c>
      <c r="B240" s="3" t="s">
        <v>8</v>
      </c>
      <c r="C240" s="3" t="s">
        <v>9</v>
      </c>
      <c r="D240" s="4" t="s">
        <v>14</v>
      </c>
      <c r="E240" s="4" t="s">
        <v>15</v>
      </c>
      <c r="F240" s="4" t="s">
        <v>16</v>
      </c>
      <c r="G240" s="5" t="s">
        <v>17</v>
      </c>
      <c r="H240" s="6">
        <v>0.0</v>
      </c>
    </row>
    <row r="241" spans="8:8" ht="23.85" hidden="1">
      <c r="A241" s="2">
        <v>1039.0</v>
      </c>
      <c r="B241" s="3" t="s">
        <v>8</v>
      </c>
      <c r="C241" s="3" t="s">
        <v>9</v>
      </c>
      <c r="D241" s="4" t="s">
        <v>14</v>
      </c>
      <c r="E241" s="4" t="s">
        <v>15</v>
      </c>
      <c r="F241" s="4" t="s">
        <v>16</v>
      </c>
      <c r="G241" s="5" t="s">
        <v>17</v>
      </c>
      <c r="H241" s="6">
        <v>0.0</v>
      </c>
    </row>
    <row r="242" spans="8:8" ht="23.85" hidden="1">
      <c r="A242" s="2">
        <v>1040.0</v>
      </c>
      <c r="B242" s="3" t="s">
        <v>8</v>
      </c>
      <c r="C242" s="3" t="s">
        <v>9</v>
      </c>
      <c r="D242" s="4" t="s">
        <v>14</v>
      </c>
      <c r="E242" s="4" t="s">
        <v>15</v>
      </c>
      <c r="F242" s="4" t="s">
        <v>16</v>
      </c>
      <c r="G242" s="5" t="s">
        <v>17</v>
      </c>
      <c r="H242" s="6">
        <v>0.0</v>
      </c>
    </row>
    <row r="243" spans="8:8" ht="23.85" hidden="1">
      <c r="A243" s="2">
        <v>1041.0</v>
      </c>
      <c r="B243" s="3" t="s">
        <v>8</v>
      </c>
      <c r="C243" s="3" t="s">
        <v>9</v>
      </c>
      <c r="D243" s="4" t="s">
        <v>14</v>
      </c>
      <c r="E243" s="4" t="s">
        <v>15</v>
      </c>
      <c r="F243" s="4" t="s">
        <v>16</v>
      </c>
      <c r="G243" s="5" t="s">
        <v>17</v>
      </c>
      <c r="H243" s="6">
        <v>0.0</v>
      </c>
    </row>
    <row r="244" spans="8:8" ht="15.0">
      <c r="A244" s="2">
        <v>1042.0</v>
      </c>
      <c r="B244" s="7" t="s">
        <v>8</v>
      </c>
      <c r="C244" s="7" t="s">
        <v>18</v>
      </c>
      <c r="D244" s="8" t="s">
        <v>96</v>
      </c>
      <c r="E244" s="8" t="s">
        <v>89</v>
      </c>
      <c r="F244" s="8" t="s">
        <v>90</v>
      </c>
      <c r="G244" s="9" t="s">
        <v>97</v>
      </c>
      <c r="H244" s="10">
        <v>3.0</v>
      </c>
    </row>
    <row r="245" spans="8:8" ht="23.85" hidden="1">
      <c r="A245" s="2">
        <v>1043.0</v>
      </c>
      <c r="B245" s="3" t="s">
        <v>8</v>
      </c>
      <c r="C245" s="3" t="s">
        <v>9</v>
      </c>
      <c r="D245" s="4" t="s">
        <v>14</v>
      </c>
      <c r="E245" s="4" t="s">
        <v>15</v>
      </c>
      <c r="F245" s="4" t="s">
        <v>16</v>
      </c>
      <c r="G245" s="5" t="s">
        <v>17</v>
      </c>
      <c r="H245" s="6">
        <v>0.0</v>
      </c>
    </row>
    <row r="246" spans="8:8" ht="23.85" hidden="1">
      <c r="A246" s="2">
        <v>1044.0</v>
      </c>
      <c r="B246" s="3" t="s">
        <v>8</v>
      </c>
      <c r="C246" s="3" t="s">
        <v>9</v>
      </c>
      <c r="D246" s="4" t="s">
        <v>14</v>
      </c>
      <c r="E246" s="4" t="s">
        <v>15</v>
      </c>
      <c r="F246" s="4" t="s">
        <v>16</v>
      </c>
      <c r="G246" s="5" t="s">
        <v>17</v>
      </c>
      <c r="H246" s="6">
        <v>0.0</v>
      </c>
    </row>
    <row r="247" spans="8:8" ht="23.85" hidden="1">
      <c r="A247" s="2">
        <v>1045.0</v>
      </c>
      <c r="B247" s="3" t="s">
        <v>8</v>
      </c>
      <c r="C247" s="3" t="s">
        <v>9</v>
      </c>
      <c r="D247" s="4" t="s">
        <v>14</v>
      </c>
      <c r="E247" s="4" t="s">
        <v>15</v>
      </c>
      <c r="F247" s="4" t="s">
        <v>16</v>
      </c>
      <c r="G247" s="5" t="s">
        <v>17</v>
      </c>
      <c r="H247" s="6">
        <v>0.0</v>
      </c>
    </row>
    <row r="248" spans="8:8" ht="23.85" hidden="1">
      <c r="A248" s="2">
        <v>1046.0</v>
      </c>
      <c r="B248" s="3" t="s">
        <v>8</v>
      </c>
      <c r="C248" s="3" t="s">
        <v>9</v>
      </c>
      <c r="D248" s="4" t="s">
        <v>14</v>
      </c>
      <c r="E248" s="4" t="s">
        <v>15</v>
      </c>
      <c r="F248" s="4" t="s">
        <v>16</v>
      </c>
      <c r="G248" s="5" t="s">
        <v>17</v>
      </c>
      <c r="H248" s="6">
        <v>0.0</v>
      </c>
    </row>
    <row r="249" spans="8:8" ht="23.85" hidden="1">
      <c r="A249" s="2">
        <v>1047.0</v>
      </c>
      <c r="B249" s="3" t="s">
        <v>8</v>
      </c>
      <c r="C249" s="3" t="s">
        <v>9</v>
      </c>
      <c r="D249" s="4" t="s">
        <v>14</v>
      </c>
      <c r="E249" s="4" t="s">
        <v>15</v>
      </c>
      <c r="F249" s="4" t="s">
        <v>16</v>
      </c>
      <c r="G249" s="5" t="s">
        <v>17</v>
      </c>
      <c r="H249" s="6">
        <v>0.0</v>
      </c>
    </row>
    <row r="250" spans="8:8" ht="23.85" hidden="1">
      <c r="A250" s="2">
        <v>1048.0</v>
      </c>
      <c r="B250" s="3" t="s">
        <v>8</v>
      </c>
      <c r="C250" s="3" t="s">
        <v>9</v>
      </c>
      <c r="D250" s="4" t="s">
        <v>14</v>
      </c>
      <c r="E250" s="4" t="s">
        <v>15</v>
      </c>
      <c r="F250" s="4" t="s">
        <v>16</v>
      </c>
      <c r="G250" s="5" t="s">
        <v>17</v>
      </c>
      <c r="H250" s="6">
        <v>0.0</v>
      </c>
    </row>
    <row r="251" spans="8:8" ht="23.85" hidden="1">
      <c r="A251" s="2">
        <v>1049.0</v>
      </c>
      <c r="B251" s="3" t="s">
        <v>8</v>
      </c>
      <c r="C251" s="3" t="s">
        <v>9</v>
      </c>
      <c r="D251" s="4" t="s">
        <v>14</v>
      </c>
      <c r="E251" s="4" t="s">
        <v>15</v>
      </c>
      <c r="F251" s="4" t="s">
        <v>16</v>
      </c>
      <c r="G251" s="5" t="s">
        <v>17</v>
      </c>
      <c r="H251" s="6">
        <v>0.0</v>
      </c>
    </row>
    <row r="252" spans="8:8" ht="23.85">
      <c r="A252" s="2">
        <v>1050.0</v>
      </c>
      <c r="B252" s="7" t="s">
        <v>8</v>
      </c>
      <c r="C252" s="7" t="s">
        <v>18</v>
      </c>
      <c r="D252" s="8" t="s">
        <v>98</v>
      </c>
      <c r="E252" s="8" t="s">
        <v>20</v>
      </c>
      <c r="F252" s="8" t="s">
        <v>99</v>
      </c>
      <c r="G252" s="9" t="s">
        <v>100</v>
      </c>
      <c r="H252" s="10">
        <v>3.0</v>
      </c>
    </row>
    <row r="253" spans="8:8" ht="23.85" hidden="1">
      <c r="A253" s="2">
        <v>1051.0</v>
      </c>
      <c r="B253" s="3" t="s">
        <v>8</v>
      </c>
      <c r="C253" s="3" t="s">
        <v>9</v>
      </c>
      <c r="D253" s="4" t="s">
        <v>14</v>
      </c>
      <c r="E253" s="4" t="s">
        <v>15</v>
      </c>
      <c r="F253" s="4" t="s">
        <v>16</v>
      </c>
      <c r="G253" s="5" t="s">
        <v>17</v>
      </c>
      <c r="H253" s="6">
        <v>0.0</v>
      </c>
    </row>
    <row r="254" spans="8:8" ht="23.85" hidden="1">
      <c r="A254" s="2">
        <v>1052.0</v>
      </c>
      <c r="B254" s="3" t="s">
        <v>8</v>
      </c>
      <c r="C254" s="3" t="s">
        <v>9</v>
      </c>
      <c r="D254" s="4" t="s">
        <v>14</v>
      </c>
      <c r="E254" s="4" t="s">
        <v>15</v>
      </c>
      <c r="F254" s="4" t="s">
        <v>16</v>
      </c>
      <c r="G254" s="5" t="s">
        <v>17</v>
      </c>
      <c r="H254" s="6">
        <v>0.0</v>
      </c>
    </row>
    <row r="255" spans="8:8" ht="23.85" hidden="1">
      <c r="A255" s="2">
        <v>1053.0</v>
      </c>
      <c r="B255" s="3" t="s">
        <v>8</v>
      </c>
      <c r="C255" s="3" t="s">
        <v>9</v>
      </c>
      <c r="D255" s="4" t="s">
        <v>14</v>
      </c>
      <c r="E255" s="4" t="s">
        <v>15</v>
      </c>
      <c r="F255" s="4" t="s">
        <v>16</v>
      </c>
      <c r="G255" s="5" t="s">
        <v>17</v>
      </c>
      <c r="H255" s="6">
        <v>0.0</v>
      </c>
    </row>
    <row r="256" spans="8:8" ht="23.85" hidden="1">
      <c r="A256" s="2">
        <v>1054.0</v>
      </c>
      <c r="B256" s="3" t="s">
        <v>8</v>
      </c>
      <c r="C256" s="3" t="s">
        <v>9</v>
      </c>
      <c r="D256" s="4" t="s">
        <v>14</v>
      </c>
      <c r="E256" s="4" t="s">
        <v>15</v>
      </c>
      <c r="F256" s="4" t="s">
        <v>16</v>
      </c>
      <c r="G256" s="5" t="s">
        <v>17</v>
      </c>
      <c r="H256" s="6">
        <v>0.0</v>
      </c>
    </row>
    <row r="257" spans="8:8" ht="23.85" hidden="1">
      <c r="A257" s="2">
        <v>1055.0</v>
      </c>
      <c r="B257" s="3" t="s">
        <v>8</v>
      </c>
      <c r="C257" s="3" t="s">
        <v>9</v>
      </c>
      <c r="D257" s="4" t="s">
        <v>14</v>
      </c>
      <c r="E257" s="4" t="s">
        <v>15</v>
      </c>
      <c r="F257" s="4" t="s">
        <v>16</v>
      </c>
      <c r="G257" s="5" t="s">
        <v>17</v>
      </c>
      <c r="H257" s="6">
        <v>0.0</v>
      </c>
    </row>
    <row r="258" spans="8:8" ht="23.85" hidden="1">
      <c r="A258" s="2">
        <v>1056.0</v>
      </c>
      <c r="B258" s="3" t="s">
        <v>8</v>
      </c>
      <c r="C258" s="3" t="s">
        <v>9</v>
      </c>
      <c r="D258" s="4" t="s">
        <v>14</v>
      </c>
      <c r="E258" s="4" t="s">
        <v>15</v>
      </c>
      <c r="F258" s="4" t="s">
        <v>16</v>
      </c>
      <c r="G258" s="5" t="s">
        <v>17</v>
      </c>
      <c r="H258" s="6">
        <v>0.0</v>
      </c>
    </row>
    <row r="259" spans="8:8" ht="23.85" hidden="1">
      <c r="A259" s="2">
        <v>1057.0</v>
      </c>
      <c r="B259" s="3" t="s">
        <v>8</v>
      </c>
      <c r="C259" s="3" t="s">
        <v>9</v>
      </c>
      <c r="D259" s="4" t="s">
        <v>14</v>
      </c>
      <c r="E259" s="4" t="s">
        <v>15</v>
      </c>
      <c r="F259" s="4" t="s">
        <v>16</v>
      </c>
      <c r="G259" s="5" t="s">
        <v>17</v>
      </c>
      <c r="H259" s="6">
        <v>0.0</v>
      </c>
    </row>
    <row r="260" spans="8:8" ht="23.85" hidden="1">
      <c r="A260" s="2">
        <v>1058.0</v>
      </c>
      <c r="B260" s="3" t="s">
        <v>8</v>
      </c>
      <c r="C260" s="3" t="s">
        <v>9</v>
      </c>
      <c r="D260" s="4" t="s">
        <v>14</v>
      </c>
      <c r="E260" s="4" t="s">
        <v>15</v>
      </c>
      <c r="F260" s="4" t="s">
        <v>16</v>
      </c>
      <c r="G260" s="5" t="s">
        <v>17</v>
      </c>
      <c r="H260" s="6">
        <v>0.0</v>
      </c>
    </row>
    <row r="261" spans="8:8" ht="15.0">
      <c r="A261" s="2">
        <v>1059.0</v>
      </c>
      <c r="B261" s="7" t="s">
        <v>8</v>
      </c>
      <c r="C261" s="12" t="s">
        <v>18</v>
      </c>
      <c r="D261" s="8" t="s">
        <v>101</v>
      </c>
      <c r="E261" s="8" t="s">
        <v>89</v>
      </c>
      <c r="F261" s="8" t="s">
        <v>90</v>
      </c>
      <c r="G261" s="9" t="s">
        <v>102</v>
      </c>
      <c r="H261" s="13">
        <v>4.0</v>
      </c>
    </row>
    <row r="262" spans="8:8" ht="23.85" hidden="1">
      <c r="A262" s="2">
        <v>1060.0</v>
      </c>
      <c r="B262" s="3" t="s">
        <v>8</v>
      </c>
      <c r="C262" s="3" t="s">
        <v>9</v>
      </c>
      <c r="D262" s="4" t="s">
        <v>14</v>
      </c>
      <c r="E262" s="4" t="s">
        <v>15</v>
      </c>
      <c r="F262" s="4" t="s">
        <v>16</v>
      </c>
      <c r="G262" s="5" t="s">
        <v>17</v>
      </c>
      <c r="H262" s="6">
        <v>0.0</v>
      </c>
    </row>
    <row r="263" spans="8:8" ht="23.85" hidden="1">
      <c r="A263" s="2">
        <v>1061.0</v>
      </c>
      <c r="B263" s="3" t="s">
        <v>8</v>
      </c>
      <c r="C263" s="3" t="s">
        <v>9</v>
      </c>
      <c r="D263" s="4" t="s">
        <v>14</v>
      </c>
      <c r="E263" s="4" t="s">
        <v>15</v>
      </c>
      <c r="F263" s="4" t="s">
        <v>16</v>
      </c>
      <c r="G263" s="5" t="s">
        <v>17</v>
      </c>
      <c r="H263" s="6">
        <v>0.0</v>
      </c>
    </row>
    <row r="264" spans="8:8" ht="23.85" hidden="1">
      <c r="A264" s="2">
        <v>1062.0</v>
      </c>
      <c r="B264" s="3" t="s">
        <v>8</v>
      </c>
      <c r="C264" s="3" t="s">
        <v>9</v>
      </c>
      <c r="D264" s="4" t="s">
        <v>14</v>
      </c>
      <c r="E264" s="4" t="s">
        <v>15</v>
      </c>
      <c r="F264" s="4" t="s">
        <v>16</v>
      </c>
      <c r="G264" s="5" t="s">
        <v>17</v>
      </c>
      <c r="H264" s="6">
        <v>0.0</v>
      </c>
    </row>
    <row r="265" spans="8:8" ht="23.85" hidden="1">
      <c r="A265" s="2">
        <v>1063.0</v>
      </c>
      <c r="B265" s="3" t="s">
        <v>8</v>
      </c>
      <c r="C265" s="3" t="s">
        <v>9</v>
      </c>
      <c r="D265" s="4" t="s">
        <v>14</v>
      </c>
      <c r="E265" s="4" t="s">
        <v>15</v>
      </c>
      <c r="F265" s="4" t="s">
        <v>16</v>
      </c>
      <c r="G265" s="5" t="s">
        <v>17</v>
      </c>
      <c r="H265" s="6">
        <v>0.0</v>
      </c>
    </row>
    <row r="266" spans="8:8" ht="23.85" hidden="1">
      <c r="A266" s="2">
        <v>1064.0</v>
      </c>
      <c r="B266" s="3" t="s">
        <v>8</v>
      </c>
      <c r="C266" s="3" t="s">
        <v>9</v>
      </c>
      <c r="D266" s="4" t="s">
        <v>14</v>
      </c>
      <c r="E266" s="4" t="s">
        <v>15</v>
      </c>
      <c r="F266" s="4" t="s">
        <v>16</v>
      </c>
      <c r="G266" s="5" t="s">
        <v>17</v>
      </c>
      <c r="H266" s="6">
        <v>0.0</v>
      </c>
    </row>
    <row r="267" spans="8:8" ht="23.85">
      <c r="A267" s="2">
        <v>1065.0</v>
      </c>
      <c r="B267" s="7" t="s">
        <v>8</v>
      </c>
      <c r="C267" s="12" t="s">
        <v>18</v>
      </c>
      <c r="D267" s="8" t="s">
        <v>103</v>
      </c>
      <c r="E267" s="8" t="s">
        <v>104</v>
      </c>
      <c r="F267" s="8" t="s">
        <v>65</v>
      </c>
      <c r="G267" s="9" t="s">
        <v>105</v>
      </c>
      <c r="H267" s="15">
        <v>5.0</v>
      </c>
    </row>
    <row r="268" spans="8:8" ht="23.85" hidden="1">
      <c r="A268" s="2">
        <v>1066.0</v>
      </c>
      <c r="B268" s="3" t="s">
        <v>8</v>
      </c>
      <c r="C268" s="3" t="s">
        <v>9</v>
      </c>
      <c r="D268" s="4" t="s">
        <v>14</v>
      </c>
      <c r="E268" s="4" t="s">
        <v>15</v>
      </c>
      <c r="F268" s="4" t="s">
        <v>16</v>
      </c>
      <c r="G268" s="5" t="s">
        <v>17</v>
      </c>
      <c r="H268" s="6">
        <v>0.0</v>
      </c>
    </row>
    <row r="269" spans="8:8" ht="23.85">
      <c r="A269" s="2">
        <v>1067.0</v>
      </c>
      <c r="B269" s="7" t="s">
        <v>8</v>
      </c>
      <c r="C269" s="12" t="s">
        <v>18</v>
      </c>
      <c r="D269" s="8" t="s">
        <v>106</v>
      </c>
      <c r="E269" s="8" t="s">
        <v>104</v>
      </c>
      <c r="F269" s="8" t="s">
        <v>65</v>
      </c>
      <c r="G269" s="9" t="s">
        <v>107</v>
      </c>
      <c r="H269" s="15">
        <v>5.0</v>
      </c>
    </row>
    <row r="270" spans="8:8" ht="23.85" hidden="1">
      <c r="A270" s="2">
        <v>1068.0</v>
      </c>
      <c r="B270" s="3" t="s">
        <v>8</v>
      </c>
      <c r="C270" s="3" t="s">
        <v>9</v>
      </c>
      <c r="D270" s="4" t="s">
        <v>14</v>
      </c>
      <c r="E270" s="4" t="s">
        <v>15</v>
      </c>
      <c r="F270" s="4" t="s">
        <v>16</v>
      </c>
      <c r="G270" s="5" t="s">
        <v>17</v>
      </c>
      <c r="H270" s="6">
        <v>0.0</v>
      </c>
    </row>
    <row r="271" spans="8:8" ht="23.85">
      <c r="A271" s="2">
        <v>1069.0</v>
      </c>
      <c r="B271" s="7" t="s">
        <v>8</v>
      </c>
      <c r="C271" s="12" t="s">
        <v>18</v>
      </c>
      <c r="D271" s="8" t="s">
        <v>108</v>
      </c>
      <c r="E271" s="8" t="s">
        <v>104</v>
      </c>
      <c r="F271" s="8" t="s">
        <v>65</v>
      </c>
      <c r="G271" s="9" t="s">
        <v>109</v>
      </c>
      <c r="H271" s="15">
        <v>5.0</v>
      </c>
    </row>
    <row r="272" spans="8:8" ht="23.85" hidden="1">
      <c r="A272" s="2">
        <v>1070.0</v>
      </c>
      <c r="B272" s="3" t="s">
        <v>8</v>
      </c>
      <c r="C272" s="3" t="s">
        <v>9</v>
      </c>
      <c r="D272" s="4" t="s">
        <v>14</v>
      </c>
      <c r="E272" s="4" t="s">
        <v>15</v>
      </c>
      <c r="F272" s="4" t="s">
        <v>16</v>
      </c>
      <c r="G272" s="5" t="s">
        <v>17</v>
      </c>
      <c r="H272" s="6">
        <v>0.0</v>
      </c>
    </row>
    <row r="273" spans="8:8" ht="15.0">
      <c r="A273" s="2">
        <v>1071.0</v>
      </c>
      <c r="B273" s="7" t="s">
        <v>8</v>
      </c>
      <c r="C273" s="12" t="s">
        <v>18</v>
      </c>
      <c r="D273" s="8" t="s">
        <v>110</v>
      </c>
      <c r="E273" s="8" t="s">
        <v>111</v>
      </c>
      <c r="F273" s="8" t="s">
        <v>90</v>
      </c>
      <c r="G273" s="9" t="s">
        <v>112</v>
      </c>
      <c r="H273" s="13">
        <v>4.0</v>
      </c>
    </row>
    <row r="274" spans="8:8" ht="15.0">
      <c r="A274" s="2">
        <v>1072.0</v>
      </c>
      <c r="B274" s="7" t="s">
        <v>8</v>
      </c>
      <c r="C274" s="7" t="s">
        <v>18</v>
      </c>
      <c r="D274" s="8" t="s">
        <v>113</v>
      </c>
      <c r="E274" s="8" t="s">
        <v>51</v>
      </c>
      <c r="F274" s="8" t="s">
        <v>65</v>
      </c>
      <c r="G274" s="9" t="s">
        <v>114</v>
      </c>
      <c r="H274" s="10">
        <v>3.0</v>
      </c>
    </row>
    <row r="275" spans="8:8" ht="23.85" hidden="1">
      <c r="A275" s="2">
        <v>1073.0</v>
      </c>
      <c r="B275" s="3" t="s">
        <v>8</v>
      </c>
      <c r="C275" s="3" t="s">
        <v>9</v>
      </c>
      <c r="D275" s="4" t="s">
        <v>14</v>
      </c>
      <c r="E275" s="4" t="s">
        <v>15</v>
      </c>
      <c r="F275" s="4" t="s">
        <v>16</v>
      </c>
      <c r="G275" s="5" t="s">
        <v>17</v>
      </c>
      <c r="H275" s="6">
        <v>0.0</v>
      </c>
    </row>
    <row r="276" spans="8:8" ht="23.85" hidden="1">
      <c r="A276" s="2">
        <v>1074.0</v>
      </c>
      <c r="B276" s="3" t="s">
        <v>8</v>
      </c>
      <c r="C276" s="3" t="s">
        <v>9</v>
      </c>
      <c r="D276" s="4" t="s">
        <v>14</v>
      </c>
      <c r="E276" s="4" t="s">
        <v>15</v>
      </c>
      <c r="F276" s="4" t="s">
        <v>16</v>
      </c>
      <c r="G276" s="5" t="s">
        <v>17</v>
      </c>
      <c r="H276" s="6">
        <v>0.0</v>
      </c>
    </row>
    <row r="277" spans="8:8" ht="23.85" hidden="1">
      <c r="A277" s="2">
        <v>1075.0</v>
      </c>
      <c r="B277" s="3" t="s">
        <v>8</v>
      </c>
      <c r="C277" s="3" t="s">
        <v>9</v>
      </c>
      <c r="D277" s="4" t="s">
        <v>14</v>
      </c>
      <c r="E277" s="4" t="s">
        <v>15</v>
      </c>
      <c r="F277" s="4" t="s">
        <v>16</v>
      </c>
      <c r="G277" s="5" t="s">
        <v>17</v>
      </c>
      <c r="H277" s="6">
        <v>0.0</v>
      </c>
    </row>
    <row r="278" spans="8:8" ht="23.85" hidden="1">
      <c r="A278" s="2">
        <v>1076.0</v>
      </c>
      <c r="B278" s="3" t="s">
        <v>8</v>
      </c>
      <c r="C278" s="3" t="s">
        <v>9</v>
      </c>
      <c r="D278" s="4" t="s">
        <v>14</v>
      </c>
      <c r="E278" s="4" t="s">
        <v>15</v>
      </c>
      <c r="F278" s="4" t="s">
        <v>16</v>
      </c>
      <c r="G278" s="5" t="s">
        <v>17</v>
      </c>
      <c r="H278" s="6">
        <v>0.0</v>
      </c>
    </row>
    <row r="279" spans="8:8" ht="23.85" hidden="1">
      <c r="A279" s="2">
        <v>1077.0</v>
      </c>
      <c r="B279" s="3" t="s">
        <v>8</v>
      </c>
      <c r="C279" s="3" t="s">
        <v>9</v>
      </c>
      <c r="D279" s="4" t="s">
        <v>14</v>
      </c>
      <c r="E279" s="4" t="s">
        <v>15</v>
      </c>
      <c r="F279" s="4" t="s">
        <v>16</v>
      </c>
      <c r="G279" s="5" t="s">
        <v>17</v>
      </c>
      <c r="H279" s="6">
        <v>0.0</v>
      </c>
    </row>
    <row r="280" spans="8:8" ht="23.85">
      <c r="A280" s="2">
        <v>1078.0</v>
      </c>
      <c r="B280" s="7" t="s">
        <v>8</v>
      </c>
      <c r="C280" s="12" t="s">
        <v>18</v>
      </c>
      <c r="D280" s="8" t="s">
        <v>115</v>
      </c>
      <c r="E280" s="8" t="s">
        <v>116</v>
      </c>
      <c r="F280" s="8" t="s">
        <v>90</v>
      </c>
      <c r="G280" s="9" t="s">
        <v>117</v>
      </c>
      <c r="H280" s="15">
        <v>5.0</v>
      </c>
    </row>
    <row r="281" spans="8:8" ht="23.85" hidden="1">
      <c r="A281" s="2">
        <v>1079.0</v>
      </c>
      <c r="B281" s="3" t="s">
        <v>8</v>
      </c>
      <c r="C281" s="3" t="s">
        <v>9</v>
      </c>
      <c r="D281" s="4" t="s">
        <v>14</v>
      </c>
      <c r="E281" s="4" t="s">
        <v>15</v>
      </c>
      <c r="F281" s="4" t="s">
        <v>16</v>
      </c>
      <c r="G281" s="5" t="s">
        <v>17</v>
      </c>
      <c r="H281" s="6">
        <v>0.0</v>
      </c>
    </row>
    <row r="282" spans="8:8" ht="23.85" hidden="1">
      <c r="A282" s="2">
        <v>1080.0</v>
      </c>
      <c r="B282" s="3" t="s">
        <v>8</v>
      </c>
      <c r="C282" s="3" t="s">
        <v>9</v>
      </c>
      <c r="D282" s="4" t="s">
        <v>14</v>
      </c>
      <c r="E282" s="4" t="s">
        <v>15</v>
      </c>
      <c r="F282" s="4" t="s">
        <v>16</v>
      </c>
      <c r="G282" s="5" t="s">
        <v>17</v>
      </c>
      <c r="H282" s="6">
        <v>0.0</v>
      </c>
    </row>
    <row r="283" spans="8:8" ht="23.85" hidden="1">
      <c r="A283" s="2">
        <v>1081.0</v>
      </c>
      <c r="B283" s="3" t="s">
        <v>8</v>
      </c>
      <c r="C283" s="3" t="s">
        <v>9</v>
      </c>
      <c r="D283" s="4" t="s">
        <v>14</v>
      </c>
      <c r="E283" s="4" t="s">
        <v>15</v>
      </c>
      <c r="F283" s="4" t="s">
        <v>16</v>
      </c>
      <c r="G283" s="5" t="s">
        <v>17</v>
      </c>
      <c r="H283" s="6">
        <v>0.0</v>
      </c>
    </row>
    <row r="284" spans="8:8" ht="23.85">
      <c r="A284" s="2">
        <v>1082.0</v>
      </c>
      <c r="B284" s="7" t="s">
        <v>8</v>
      </c>
      <c r="C284" s="7" t="s">
        <v>18</v>
      </c>
      <c r="D284" s="8" t="s">
        <v>118</v>
      </c>
      <c r="E284" s="8" t="s">
        <v>119</v>
      </c>
      <c r="F284" s="8" t="s">
        <v>120</v>
      </c>
      <c r="G284" s="9" t="s">
        <v>121</v>
      </c>
      <c r="H284" s="10">
        <v>3.0</v>
      </c>
    </row>
    <row r="285" spans="8:8" ht="23.85" hidden="1">
      <c r="A285" s="2">
        <v>1083.0</v>
      </c>
      <c r="B285" s="3" t="s">
        <v>8</v>
      </c>
      <c r="C285" s="3" t="s">
        <v>9</v>
      </c>
      <c r="D285" s="4" t="s">
        <v>14</v>
      </c>
      <c r="E285" s="4" t="s">
        <v>15</v>
      </c>
      <c r="F285" s="4" t="s">
        <v>16</v>
      </c>
      <c r="G285" s="5" t="s">
        <v>17</v>
      </c>
      <c r="H285" s="6">
        <v>0.0</v>
      </c>
    </row>
    <row r="286" spans="8:8" ht="23.85" hidden="1">
      <c r="A286" s="2">
        <v>1084.0</v>
      </c>
      <c r="B286" s="3" t="s">
        <v>8</v>
      </c>
      <c r="C286" s="3" t="s">
        <v>9</v>
      </c>
      <c r="D286" s="4" t="s">
        <v>14</v>
      </c>
      <c r="E286" s="4" t="s">
        <v>15</v>
      </c>
      <c r="F286" s="4" t="s">
        <v>16</v>
      </c>
      <c r="G286" s="5" t="s">
        <v>17</v>
      </c>
      <c r="H286" s="6">
        <v>0.0</v>
      </c>
    </row>
    <row r="287" spans="8:8" ht="23.85" hidden="1">
      <c r="A287" s="2">
        <v>1085.0</v>
      </c>
      <c r="B287" s="3" t="s">
        <v>8</v>
      </c>
      <c r="C287" s="3" t="s">
        <v>9</v>
      </c>
      <c r="D287" s="4" t="s">
        <v>14</v>
      </c>
      <c r="E287" s="4" t="s">
        <v>15</v>
      </c>
      <c r="F287" s="4" t="s">
        <v>16</v>
      </c>
      <c r="G287" s="5" t="s">
        <v>17</v>
      </c>
      <c r="H287" s="6">
        <v>0.0</v>
      </c>
    </row>
    <row r="288" spans="8:8" ht="15.0" hidden="1">
      <c r="A288" s="2">
        <v>1086.0</v>
      </c>
      <c r="B288" s="3" t="s">
        <v>8</v>
      </c>
      <c r="C288" s="3" t="s">
        <v>9</v>
      </c>
      <c r="D288" s="4" t="s">
        <v>122</v>
      </c>
      <c r="E288" s="4" t="s">
        <v>11</v>
      </c>
      <c r="F288" s="4" t="s">
        <v>69</v>
      </c>
      <c r="G288" s="5" t="s">
        <v>123</v>
      </c>
      <c r="H288" s="6">
        <v>0.0</v>
      </c>
    </row>
    <row r="289" spans="8:8" ht="23.85" hidden="1">
      <c r="A289" s="2">
        <v>1087.0</v>
      </c>
      <c r="B289" s="3" t="s">
        <v>8</v>
      </c>
      <c r="C289" s="3" t="s">
        <v>9</v>
      </c>
      <c r="D289" s="4" t="s">
        <v>14</v>
      </c>
      <c r="E289" s="4" t="s">
        <v>15</v>
      </c>
      <c r="F289" s="4" t="s">
        <v>16</v>
      </c>
      <c r="G289" s="5" t="s">
        <v>17</v>
      </c>
      <c r="H289" s="6">
        <v>0.0</v>
      </c>
    </row>
    <row r="290" spans="8:8" ht="23.85" hidden="1">
      <c r="A290" s="2">
        <v>1088.0</v>
      </c>
      <c r="B290" s="3" t="s">
        <v>8</v>
      </c>
      <c r="C290" s="3" t="s">
        <v>9</v>
      </c>
      <c r="D290" s="4" t="s">
        <v>14</v>
      </c>
      <c r="E290" s="4" t="s">
        <v>15</v>
      </c>
      <c r="F290" s="4" t="s">
        <v>16</v>
      </c>
      <c r="G290" s="5" t="s">
        <v>17</v>
      </c>
      <c r="H290" s="6">
        <v>0.0</v>
      </c>
    </row>
    <row r="291" spans="8:8" ht="23.85" hidden="1">
      <c r="A291" s="2">
        <v>1089.0</v>
      </c>
      <c r="B291" s="3" t="s">
        <v>8</v>
      </c>
      <c r="C291" s="3" t="s">
        <v>9</v>
      </c>
      <c r="D291" s="4" t="s">
        <v>14</v>
      </c>
      <c r="E291" s="4" t="s">
        <v>15</v>
      </c>
      <c r="F291" s="4" t="s">
        <v>16</v>
      </c>
      <c r="G291" s="5" t="s">
        <v>17</v>
      </c>
      <c r="H291" s="6">
        <v>0.0</v>
      </c>
    </row>
    <row r="292" spans="8:8" ht="23.85" hidden="1">
      <c r="A292" s="2">
        <v>1090.0</v>
      </c>
      <c r="B292" s="3" t="s">
        <v>8</v>
      </c>
      <c r="C292" s="3" t="s">
        <v>9</v>
      </c>
      <c r="D292" s="4" t="s">
        <v>14</v>
      </c>
      <c r="E292" s="4" t="s">
        <v>15</v>
      </c>
      <c r="F292" s="4" t="s">
        <v>16</v>
      </c>
      <c r="G292" s="5" t="s">
        <v>17</v>
      </c>
      <c r="H292" s="6">
        <v>0.0</v>
      </c>
    </row>
    <row r="293" spans="8:8" ht="23.85" hidden="1">
      <c r="A293" s="2">
        <v>1091.0</v>
      </c>
      <c r="B293" s="3" t="s">
        <v>8</v>
      </c>
      <c r="C293" s="3" t="s">
        <v>9</v>
      </c>
      <c r="D293" s="4" t="s">
        <v>14</v>
      </c>
      <c r="E293" s="4" t="s">
        <v>15</v>
      </c>
      <c r="F293" s="4" t="s">
        <v>16</v>
      </c>
      <c r="G293" s="5" t="s">
        <v>17</v>
      </c>
      <c r="H293" s="6">
        <v>0.0</v>
      </c>
    </row>
    <row r="294" spans="8:8" ht="23.85">
      <c r="A294" s="2">
        <v>1092.0</v>
      </c>
      <c r="B294" s="7" t="s">
        <v>8</v>
      </c>
      <c r="C294" s="7" t="s">
        <v>18</v>
      </c>
      <c r="D294" s="8" t="s">
        <v>124</v>
      </c>
      <c r="E294" s="8" t="s">
        <v>125</v>
      </c>
      <c r="F294" s="8" t="s">
        <v>90</v>
      </c>
      <c r="G294" s="9" t="s">
        <v>126</v>
      </c>
      <c r="H294" s="11">
        <v>2.0</v>
      </c>
    </row>
    <row r="295" spans="8:8" ht="23.85" hidden="1">
      <c r="A295" s="2">
        <v>1093.0</v>
      </c>
      <c r="B295" s="3" t="s">
        <v>8</v>
      </c>
      <c r="C295" s="3" t="s">
        <v>9</v>
      </c>
      <c r="D295" s="4" t="s">
        <v>14</v>
      </c>
      <c r="E295" s="4" t="s">
        <v>15</v>
      </c>
      <c r="F295" s="4" t="s">
        <v>16</v>
      </c>
      <c r="G295" s="5" t="s">
        <v>17</v>
      </c>
      <c r="H295" s="6">
        <v>0.0</v>
      </c>
    </row>
    <row r="296" spans="8:8" ht="23.85" hidden="1">
      <c r="A296" s="2">
        <v>1094.0</v>
      </c>
      <c r="B296" s="3" t="s">
        <v>8</v>
      </c>
      <c r="C296" s="3" t="s">
        <v>9</v>
      </c>
      <c r="D296" s="4" t="s">
        <v>14</v>
      </c>
      <c r="E296" s="4" t="s">
        <v>15</v>
      </c>
      <c r="F296" s="4" t="s">
        <v>16</v>
      </c>
      <c r="G296" s="5" t="s">
        <v>17</v>
      </c>
      <c r="H296" s="6">
        <v>0.0</v>
      </c>
    </row>
    <row r="297" spans="8:8" ht="23.85" hidden="1">
      <c r="A297" s="2">
        <v>1095.0</v>
      </c>
      <c r="B297" s="3" t="s">
        <v>8</v>
      </c>
      <c r="C297" s="3" t="s">
        <v>9</v>
      </c>
      <c r="D297" s="4" t="s">
        <v>14</v>
      </c>
      <c r="E297" s="4" t="s">
        <v>15</v>
      </c>
      <c r="F297" s="4" t="s">
        <v>16</v>
      </c>
      <c r="G297" s="5" t="s">
        <v>17</v>
      </c>
      <c r="H297" s="6">
        <v>0.0</v>
      </c>
    </row>
    <row r="298" spans="8:8" ht="23.85">
      <c r="A298" s="2">
        <v>1096.0</v>
      </c>
      <c r="B298" s="7" t="s">
        <v>8</v>
      </c>
      <c r="C298" s="7" t="s">
        <v>18</v>
      </c>
      <c r="D298" s="8" t="s">
        <v>127</v>
      </c>
      <c r="E298" s="8" t="s">
        <v>128</v>
      </c>
      <c r="F298" s="8" t="s">
        <v>94</v>
      </c>
      <c r="G298" s="9" t="s">
        <v>129</v>
      </c>
      <c r="H298" s="10">
        <v>3.0</v>
      </c>
    </row>
    <row r="299" spans="8:8" ht="23.85" hidden="1">
      <c r="A299" s="2">
        <v>1097.0</v>
      </c>
      <c r="B299" s="3" t="s">
        <v>8</v>
      </c>
      <c r="C299" s="3" t="s">
        <v>9</v>
      </c>
      <c r="D299" s="4" t="s">
        <v>14</v>
      </c>
      <c r="E299" s="4" t="s">
        <v>15</v>
      </c>
      <c r="F299" s="4" t="s">
        <v>16</v>
      </c>
      <c r="G299" s="5" t="s">
        <v>17</v>
      </c>
      <c r="H299" s="6">
        <v>0.0</v>
      </c>
    </row>
    <row r="300" spans="8:8" ht="23.85" hidden="1">
      <c r="A300" s="2">
        <v>1098.0</v>
      </c>
      <c r="B300" s="3" t="s">
        <v>8</v>
      </c>
      <c r="C300" s="3" t="s">
        <v>9</v>
      </c>
      <c r="D300" s="4" t="s">
        <v>14</v>
      </c>
      <c r="E300" s="4" t="s">
        <v>15</v>
      </c>
      <c r="F300" s="4" t="s">
        <v>16</v>
      </c>
      <c r="G300" s="5" t="s">
        <v>17</v>
      </c>
      <c r="H300" s="6">
        <v>0.0</v>
      </c>
    </row>
    <row r="301" spans="8:8" ht="23.85" hidden="1">
      <c r="A301" s="2">
        <v>1099.0</v>
      </c>
      <c r="B301" s="3" t="s">
        <v>8</v>
      </c>
      <c r="C301" s="3" t="s">
        <v>9</v>
      </c>
      <c r="D301" s="4" t="s">
        <v>14</v>
      </c>
      <c r="E301" s="4" t="s">
        <v>15</v>
      </c>
      <c r="F301" s="4" t="s">
        <v>16</v>
      </c>
      <c r="G301" s="5" t="s">
        <v>17</v>
      </c>
      <c r="H301" s="6">
        <v>0.0</v>
      </c>
    </row>
    <row r="302" spans="8:8" ht="23.85" hidden="1">
      <c r="A302" s="2">
        <v>1100.0</v>
      </c>
      <c r="B302" s="3" t="s">
        <v>8</v>
      </c>
      <c r="C302" s="3" t="s">
        <v>9</v>
      </c>
      <c r="D302" s="4" t="s">
        <v>14</v>
      </c>
      <c r="E302" s="4" t="s">
        <v>15</v>
      </c>
      <c r="F302" s="4" t="s">
        <v>16</v>
      </c>
      <c r="G302" s="5" t="s">
        <v>17</v>
      </c>
      <c r="H302" s="6">
        <v>0.0</v>
      </c>
    </row>
    <row r="303" spans="8:8" ht="23.85" hidden="1">
      <c r="A303" s="2">
        <v>1101.0</v>
      </c>
      <c r="B303" s="3" t="s">
        <v>8</v>
      </c>
      <c r="C303" s="3" t="s">
        <v>9</v>
      </c>
      <c r="D303" s="4" t="s">
        <v>14</v>
      </c>
      <c r="E303" s="4" t="s">
        <v>15</v>
      </c>
      <c r="F303" s="4" t="s">
        <v>16</v>
      </c>
      <c r="G303" s="5" t="s">
        <v>17</v>
      </c>
      <c r="H303" s="6">
        <v>0.0</v>
      </c>
    </row>
    <row r="304" spans="8:8" ht="23.85" hidden="1">
      <c r="A304" s="2">
        <v>1102.0</v>
      </c>
      <c r="B304" s="3" t="s">
        <v>8</v>
      </c>
      <c r="C304" s="3" t="s">
        <v>9</v>
      </c>
      <c r="D304" s="4" t="s">
        <v>14</v>
      </c>
      <c r="E304" s="4" t="s">
        <v>15</v>
      </c>
      <c r="F304" s="4" t="s">
        <v>16</v>
      </c>
      <c r="G304" s="5" t="s">
        <v>17</v>
      </c>
      <c r="H304" s="6">
        <v>0.0</v>
      </c>
    </row>
    <row r="305" spans="8:8" ht="23.85" hidden="1">
      <c r="A305" s="2">
        <v>1103.0</v>
      </c>
      <c r="B305" s="3" t="s">
        <v>8</v>
      </c>
      <c r="C305" s="3" t="s">
        <v>9</v>
      </c>
      <c r="D305" s="4" t="s">
        <v>14</v>
      </c>
      <c r="E305" s="4" t="s">
        <v>15</v>
      </c>
      <c r="F305" s="4" t="s">
        <v>16</v>
      </c>
      <c r="G305" s="5" t="s">
        <v>17</v>
      </c>
      <c r="H305" s="6">
        <v>0.0</v>
      </c>
    </row>
    <row r="306" spans="8:8" ht="23.85" hidden="1">
      <c r="A306" s="2">
        <v>1104.0</v>
      </c>
      <c r="B306" s="3" t="s">
        <v>8</v>
      </c>
      <c r="C306" s="3" t="s">
        <v>9</v>
      </c>
      <c r="D306" s="4" t="s">
        <v>14</v>
      </c>
      <c r="E306" s="4" t="s">
        <v>15</v>
      </c>
      <c r="F306" s="4" t="s">
        <v>16</v>
      </c>
      <c r="G306" s="5" t="s">
        <v>17</v>
      </c>
      <c r="H306" s="6">
        <v>0.0</v>
      </c>
    </row>
    <row r="307" spans="8:8" ht="23.85" hidden="1">
      <c r="A307" s="2">
        <v>1105.0</v>
      </c>
      <c r="B307" s="3" t="s">
        <v>8</v>
      </c>
      <c r="C307" s="3" t="s">
        <v>9</v>
      </c>
      <c r="D307" s="4" t="s">
        <v>14</v>
      </c>
      <c r="E307" s="4" t="s">
        <v>15</v>
      </c>
      <c r="F307" s="4" t="s">
        <v>16</v>
      </c>
      <c r="G307" s="5" t="s">
        <v>17</v>
      </c>
      <c r="H307" s="6">
        <v>0.0</v>
      </c>
    </row>
    <row r="308" spans="8:8" ht="23.85" hidden="1">
      <c r="A308" s="2">
        <v>1106.0</v>
      </c>
      <c r="B308" s="3" t="s">
        <v>8</v>
      </c>
      <c r="C308" s="3" t="s">
        <v>9</v>
      </c>
      <c r="D308" s="4" t="s">
        <v>14</v>
      </c>
      <c r="E308" s="4" t="s">
        <v>15</v>
      </c>
      <c r="F308" s="4" t="s">
        <v>16</v>
      </c>
      <c r="G308" s="5" t="s">
        <v>17</v>
      </c>
      <c r="H308" s="6">
        <v>0.0</v>
      </c>
    </row>
    <row r="309" spans="8:8" ht="23.85" hidden="1">
      <c r="A309" s="2">
        <v>1107.0</v>
      </c>
      <c r="B309" s="3" t="s">
        <v>8</v>
      </c>
      <c r="C309" s="3" t="s">
        <v>9</v>
      </c>
      <c r="D309" s="4" t="s">
        <v>14</v>
      </c>
      <c r="E309" s="4" t="s">
        <v>15</v>
      </c>
      <c r="F309" s="4" t="s">
        <v>16</v>
      </c>
      <c r="G309" s="5" t="s">
        <v>17</v>
      </c>
      <c r="H309" s="6">
        <v>0.0</v>
      </c>
    </row>
    <row r="310" spans="8:8" ht="23.85" hidden="1">
      <c r="A310" s="2">
        <v>1108.0</v>
      </c>
      <c r="B310" s="3" t="s">
        <v>8</v>
      </c>
      <c r="C310" s="3" t="s">
        <v>9</v>
      </c>
      <c r="D310" s="4" t="s">
        <v>14</v>
      </c>
      <c r="E310" s="4" t="s">
        <v>15</v>
      </c>
      <c r="F310" s="4" t="s">
        <v>16</v>
      </c>
      <c r="G310" s="5" t="s">
        <v>17</v>
      </c>
      <c r="H310" s="6">
        <v>0.0</v>
      </c>
    </row>
    <row r="311" spans="8:8" ht="23.85" hidden="1">
      <c r="A311" s="2">
        <v>1109.0</v>
      </c>
      <c r="B311" s="3" t="s">
        <v>8</v>
      </c>
      <c r="C311" s="3" t="s">
        <v>9</v>
      </c>
      <c r="D311" s="4" t="s">
        <v>14</v>
      </c>
      <c r="E311" s="4" t="s">
        <v>15</v>
      </c>
      <c r="F311" s="4" t="s">
        <v>16</v>
      </c>
      <c r="G311" s="5" t="s">
        <v>17</v>
      </c>
      <c r="H311" s="6">
        <v>0.0</v>
      </c>
    </row>
    <row r="312" spans="8:8" ht="23.85" hidden="1">
      <c r="A312" s="2">
        <v>1110.0</v>
      </c>
      <c r="B312" s="3" t="s">
        <v>8</v>
      </c>
      <c r="C312" s="3" t="s">
        <v>9</v>
      </c>
      <c r="D312" s="4" t="s">
        <v>14</v>
      </c>
      <c r="E312" s="4" t="s">
        <v>15</v>
      </c>
      <c r="F312" s="4" t="s">
        <v>16</v>
      </c>
      <c r="G312" s="5" t="s">
        <v>17</v>
      </c>
      <c r="H312" s="6">
        <v>0.0</v>
      </c>
    </row>
    <row r="313" spans="8:8" ht="23.85" hidden="1">
      <c r="A313" s="2">
        <v>1111.0</v>
      </c>
      <c r="B313" s="3" t="s">
        <v>8</v>
      </c>
      <c r="C313" s="3" t="s">
        <v>9</v>
      </c>
      <c r="D313" s="4" t="s">
        <v>14</v>
      </c>
      <c r="E313" s="4" t="s">
        <v>15</v>
      </c>
      <c r="F313" s="4" t="s">
        <v>16</v>
      </c>
      <c r="G313" s="5" t="s">
        <v>17</v>
      </c>
      <c r="H313" s="6">
        <v>0.0</v>
      </c>
    </row>
    <row r="314" spans="8:8" ht="23.85" hidden="1">
      <c r="A314" s="2">
        <v>1112.0</v>
      </c>
      <c r="B314" s="3" t="s">
        <v>8</v>
      </c>
      <c r="C314" s="3" t="s">
        <v>9</v>
      </c>
      <c r="D314" s="4" t="s">
        <v>14</v>
      </c>
      <c r="E314" s="4" t="s">
        <v>15</v>
      </c>
      <c r="F314" s="4" t="s">
        <v>16</v>
      </c>
      <c r="G314" s="5" t="s">
        <v>17</v>
      </c>
      <c r="H314" s="6">
        <v>0.0</v>
      </c>
    </row>
    <row r="315" spans="8:8" ht="23.85" hidden="1">
      <c r="A315" s="2">
        <v>1113.0</v>
      </c>
      <c r="B315" s="3" t="s">
        <v>8</v>
      </c>
      <c r="C315" s="3" t="s">
        <v>9</v>
      </c>
      <c r="D315" s="4" t="s">
        <v>14</v>
      </c>
      <c r="E315" s="4" t="s">
        <v>15</v>
      </c>
      <c r="F315" s="4" t="s">
        <v>16</v>
      </c>
      <c r="G315" s="5" t="s">
        <v>17</v>
      </c>
      <c r="H315" s="6">
        <v>0.0</v>
      </c>
    </row>
    <row r="316" spans="8:8" ht="23.85" hidden="1">
      <c r="A316" s="2">
        <v>1114.0</v>
      </c>
      <c r="B316" s="3" t="s">
        <v>8</v>
      </c>
      <c r="C316" s="3" t="s">
        <v>9</v>
      </c>
      <c r="D316" s="4" t="s">
        <v>14</v>
      </c>
      <c r="E316" s="4" t="s">
        <v>15</v>
      </c>
      <c r="F316" s="4" t="s">
        <v>16</v>
      </c>
      <c r="G316" s="5" t="s">
        <v>17</v>
      </c>
      <c r="H316" s="6">
        <v>0.0</v>
      </c>
    </row>
    <row r="317" spans="8:8" ht="23.85" hidden="1">
      <c r="A317" s="2">
        <v>1115.0</v>
      </c>
      <c r="B317" s="3" t="s">
        <v>8</v>
      </c>
      <c r="C317" s="3" t="s">
        <v>9</v>
      </c>
      <c r="D317" s="4" t="s">
        <v>14</v>
      </c>
      <c r="E317" s="4" t="s">
        <v>15</v>
      </c>
      <c r="F317" s="4" t="s">
        <v>16</v>
      </c>
      <c r="G317" s="5" t="s">
        <v>17</v>
      </c>
      <c r="H317" s="6">
        <v>0.0</v>
      </c>
    </row>
    <row r="318" spans="8:8" ht="23.85" hidden="1">
      <c r="A318" s="2">
        <v>1116.0</v>
      </c>
      <c r="B318" s="3" t="s">
        <v>8</v>
      </c>
      <c r="C318" s="3" t="s">
        <v>9</v>
      </c>
      <c r="D318" s="4" t="s">
        <v>14</v>
      </c>
      <c r="E318" s="4" t="s">
        <v>15</v>
      </c>
      <c r="F318" s="4" t="s">
        <v>16</v>
      </c>
      <c r="G318" s="5" t="s">
        <v>17</v>
      </c>
      <c r="H318" s="6">
        <v>0.0</v>
      </c>
    </row>
    <row r="319" spans="8:8" ht="23.85" hidden="1">
      <c r="A319" s="2">
        <v>1117.0</v>
      </c>
      <c r="B319" s="3" t="s">
        <v>8</v>
      </c>
      <c r="C319" s="3" t="s">
        <v>9</v>
      </c>
      <c r="D319" s="4" t="s">
        <v>14</v>
      </c>
      <c r="E319" s="4" t="s">
        <v>15</v>
      </c>
      <c r="F319" s="4" t="s">
        <v>16</v>
      </c>
      <c r="G319" s="5" t="s">
        <v>17</v>
      </c>
      <c r="H319" s="6">
        <v>0.0</v>
      </c>
    </row>
    <row r="320" spans="8:8" ht="23.85" hidden="1">
      <c r="A320" s="2">
        <v>1118.0</v>
      </c>
      <c r="B320" s="3" t="s">
        <v>8</v>
      </c>
      <c r="C320" s="3" t="s">
        <v>9</v>
      </c>
      <c r="D320" s="4" t="s">
        <v>14</v>
      </c>
      <c r="E320" s="4" t="s">
        <v>15</v>
      </c>
      <c r="F320" s="4" t="s">
        <v>16</v>
      </c>
      <c r="G320" s="5" t="s">
        <v>17</v>
      </c>
      <c r="H320" s="6">
        <v>0.0</v>
      </c>
    </row>
    <row r="321" spans="8:8" ht="23.85" hidden="1">
      <c r="A321" s="2">
        <v>1119.0</v>
      </c>
      <c r="B321" s="3" t="s">
        <v>8</v>
      </c>
      <c r="C321" s="3" t="s">
        <v>9</v>
      </c>
      <c r="D321" s="4" t="s">
        <v>14</v>
      </c>
      <c r="E321" s="4" t="s">
        <v>15</v>
      </c>
      <c r="F321" s="4" t="s">
        <v>16</v>
      </c>
      <c r="G321" s="5" t="s">
        <v>17</v>
      </c>
      <c r="H321" s="6">
        <v>0.0</v>
      </c>
    </row>
    <row r="322" spans="8:8" ht="23.85" hidden="1">
      <c r="A322" s="2">
        <v>1120.0</v>
      </c>
      <c r="B322" s="3" t="s">
        <v>8</v>
      </c>
      <c r="C322" s="3" t="s">
        <v>9</v>
      </c>
      <c r="D322" s="4" t="s">
        <v>14</v>
      </c>
      <c r="E322" s="4" t="s">
        <v>15</v>
      </c>
      <c r="F322" s="4" t="s">
        <v>16</v>
      </c>
      <c r="G322" s="5" t="s">
        <v>17</v>
      </c>
      <c r="H322" s="6">
        <v>0.0</v>
      </c>
    </row>
    <row r="323" spans="8:8" ht="23.85" hidden="1">
      <c r="A323" s="2">
        <v>1121.0</v>
      </c>
      <c r="B323" s="3" t="s">
        <v>8</v>
      </c>
      <c r="C323" s="3" t="s">
        <v>9</v>
      </c>
      <c r="D323" s="4" t="s">
        <v>14</v>
      </c>
      <c r="E323" s="4" t="s">
        <v>15</v>
      </c>
      <c r="F323" s="4" t="s">
        <v>16</v>
      </c>
      <c r="G323" s="5" t="s">
        <v>17</v>
      </c>
      <c r="H323" s="6">
        <v>0.0</v>
      </c>
    </row>
    <row r="324" spans="8:8" ht="23.85" hidden="1">
      <c r="A324" s="2">
        <v>1122.0</v>
      </c>
      <c r="B324" s="3" t="s">
        <v>8</v>
      </c>
      <c r="C324" s="3" t="s">
        <v>9</v>
      </c>
      <c r="D324" s="4" t="s">
        <v>14</v>
      </c>
      <c r="E324" s="4" t="s">
        <v>15</v>
      </c>
      <c r="F324" s="4" t="s">
        <v>16</v>
      </c>
      <c r="G324" s="5" t="s">
        <v>17</v>
      </c>
      <c r="H324" s="6">
        <v>0.0</v>
      </c>
    </row>
    <row r="325" spans="8:8" ht="23.85" hidden="1">
      <c r="A325" s="2">
        <v>1123.0</v>
      </c>
      <c r="B325" s="3" t="s">
        <v>8</v>
      </c>
      <c r="C325" s="3" t="s">
        <v>9</v>
      </c>
      <c r="D325" s="4" t="s">
        <v>14</v>
      </c>
      <c r="E325" s="4" t="s">
        <v>15</v>
      </c>
      <c r="F325" s="4" t="s">
        <v>16</v>
      </c>
      <c r="G325" s="5" t="s">
        <v>17</v>
      </c>
      <c r="H325" s="6">
        <v>0.0</v>
      </c>
    </row>
    <row r="326" spans="8:8" ht="23.85">
      <c r="A326" s="2">
        <v>1124.0</v>
      </c>
      <c r="B326" s="7" t="s">
        <v>8</v>
      </c>
      <c r="C326" s="7" t="s">
        <v>18</v>
      </c>
      <c r="D326" s="8" t="s">
        <v>130</v>
      </c>
      <c r="E326" s="8" t="s">
        <v>131</v>
      </c>
      <c r="F326" s="8" t="s">
        <v>69</v>
      </c>
      <c r="G326" s="9" t="s">
        <v>132</v>
      </c>
      <c r="H326" s="10">
        <v>3.0</v>
      </c>
    </row>
    <row r="327" spans="8:8" ht="23.85" hidden="1">
      <c r="A327" s="2">
        <v>1125.0</v>
      </c>
      <c r="B327" s="3" t="s">
        <v>8</v>
      </c>
      <c r="C327" s="3" t="s">
        <v>9</v>
      </c>
      <c r="D327" s="4" t="s">
        <v>14</v>
      </c>
      <c r="E327" s="4" t="s">
        <v>15</v>
      </c>
      <c r="F327" s="4" t="s">
        <v>16</v>
      </c>
      <c r="G327" s="5" t="s">
        <v>17</v>
      </c>
      <c r="H327" s="6">
        <v>0.0</v>
      </c>
    </row>
    <row r="328" spans="8:8" ht="23.85" hidden="1">
      <c r="A328" s="2">
        <v>1126.0</v>
      </c>
      <c r="B328" s="3" t="s">
        <v>8</v>
      </c>
      <c r="C328" s="3" t="s">
        <v>9</v>
      </c>
      <c r="D328" s="4" t="s">
        <v>14</v>
      </c>
      <c r="E328" s="4" t="s">
        <v>15</v>
      </c>
      <c r="F328" s="4" t="s">
        <v>16</v>
      </c>
      <c r="G328" s="5" t="s">
        <v>17</v>
      </c>
      <c r="H328" s="6">
        <v>0.0</v>
      </c>
    </row>
    <row r="329" spans="8:8" ht="23.85" hidden="1">
      <c r="A329" s="2">
        <v>1127.0</v>
      </c>
      <c r="B329" s="3" t="s">
        <v>8</v>
      </c>
      <c r="C329" s="3" t="s">
        <v>9</v>
      </c>
      <c r="D329" s="4" t="s">
        <v>14</v>
      </c>
      <c r="E329" s="4" t="s">
        <v>15</v>
      </c>
      <c r="F329" s="4" t="s">
        <v>16</v>
      </c>
      <c r="G329" s="5" t="s">
        <v>17</v>
      </c>
      <c r="H329" s="6">
        <v>0.0</v>
      </c>
    </row>
    <row r="330" spans="8:8" ht="23.85" hidden="1">
      <c r="A330" s="2">
        <v>1128.0</v>
      </c>
      <c r="B330" s="3" t="s">
        <v>8</v>
      </c>
      <c r="C330" s="3" t="s">
        <v>9</v>
      </c>
      <c r="D330" s="4" t="s">
        <v>14</v>
      </c>
      <c r="E330" s="4" t="s">
        <v>15</v>
      </c>
      <c r="F330" s="4" t="s">
        <v>16</v>
      </c>
      <c r="G330" s="5" t="s">
        <v>17</v>
      </c>
      <c r="H330" s="6">
        <v>0.0</v>
      </c>
    </row>
    <row r="331" spans="8:8" ht="15.0" hidden="1">
      <c r="A331" s="2">
        <v>1129.0</v>
      </c>
      <c r="B331" s="3" t="s">
        <v>8</v>
      </c>
      <c r="C331" s="3" t="s">
        <v>9</v>
      </c>
      <c r="D331" s="4" t="s">
        <v>133</v>
      </c>
      <c r="E331" s="4" t="s">
        <v>11</v>
      </c>
      <c r="F331" s="4" t="s">
        <v>94</v>
      </c>
      <c r="G331" s="5" t="s">
        <v>134</v>
      </c>
      <c r="H331" s="6">
        <v>0.0</v>
      </c>
    </row>
    <row r="332" spans="8:8" ht="23.85" hidden="1">
      <c r="A332" s="2">
        <v>1130.0</v>
      </c>
      <c r="B332" s="3" t="s">
        <v>8</v>
      </c>
      <c r="C332" s="3" t="s">
        <v>9</v>
      </c>
      <c r="D332" s="4" t="s">
        <v>14</v>
      </c>
      <c r="E332" s="4" t="s">
        <v>15</v>
      </c>
      <c r="F332" s="4" t="s">
        <v>16</v>
      </c>
      <c r="G332" s="5" t="s">
        <v>17</v>
      </c>
      <c r="H332" s="6">
        <v>0.0</v>
      </c>
    </row>
    <row r="333" spans="8:8" ht="23.85" hidden="1">
      <c r="A333" s="2">
        <v>1131.0</v>
      </c>
      <c r="B333" s="3" t="s">
        <v>8</v>
      </c>
      <c r="C333" s="3" t="s">
        <v>9</v>
      </c>
      <c r="D333" s="4" t="s">
        <v>14</v>
      </c>
      <c r="E333" s="4" t="s">
        <v>15</v>
      </c>
      <c r="F333" s="4" t="s">
        <v>16</v>
      </c>
      <c r="G333" s="5" t="s">
        <v>17</v>
      </c>
      <c r="H333" s="6">
        <v>0.0</v>
      </c>
    </row>
    <row r="334" spans="8:8" ht="23.85" hidden="1">
      <c r="A334" s="2">
        <v>1132.0</v>
      </c>
      <c r="B334" s="3" t="s">
        <v>8</v>
      </c>
      <c r="C334" s="3" t="s">
        <v>9</v>
      </c>
      <c r="D334" s="4" t="s">
        <v>14</v>
      </c>
      <c r="E334" s="4" t="s">
        <v>15</v>
      </c>
      <c r="F334" s="4" t="s">
        <v>16</v>
      </c>
      <c r="G334" s="5" t="s">
        <v>17</v>
      </c>
      <c r="H334" s="6">
        <v>0.0</v>
      </c>
    </row>
    <row r="335" spans="8:8" ht="23.85" hidden="1">
      <c r="A335" s="2">
        <v>1133.0</v>
      </c>
      <c r="B335" s="3" t="s">
        <v>8</v>
      </c>
      <c r="C335" s="3" t="s">
        <v>9</v>
      </c>
      <c r="D335" s="4" t="s">
        <v>14</v>
      </c>
      <c r="E335" s="4" t="s">
        <v>15</v>
      </c>
      <c r="F335" s="4" t="s">
        <v>16</v>
      </c>
      <c r="G335" s="5" t="s">
        <v>17</v>
      </c>
      <c r="H335" s="6">
        <v>0.0</v>
      </c>
    </row>
    <row r="336" spans="8:8" ht="23.85" hidden="1">
      <c r="A336" s="2">
        <v>1134.0</v>
      </c>
      <c r="B336" s="3" t="s">
        <v>8</v>
      </c>
      <c r="C336" s="3" t="s">
        <v>9</v>
      </c>
      <c r="D336" s="4" t="s">
        <v>14</v>
      </c>
      <c r="E336" s="4" t="s">
        <v>15</v>
      </c>
      <c r="F336" s="4" t="s">
        <v>16</v>
      </c>
      <c r="G336" s="5" t="s">
        <v>17</v>
      </c>
      <c r="H336" s="6">
        <v>0.0</v>
      </c>
    </row>
    <row r="337" spans="8:8" ht="15.0">
      <c r="A337" s="2">
        <v>1135.0</v>
      </c>
      <c r="B337" s="7" t="s">
        <v>8</v>
      </c>
      <c r="C337" s="7" t="s">
        <v>18</v>
      </c>
      <c r="D337" s="8" t="s">
        <v>135</v>
      </c>
      <c r="E337" s="8" t="s">
        <v>89</v>
      </c>
      <c r="F337" s="8" t="s">
        <v>69</v>
      </c>
      <c r="G337" s="9" t="s">
        <v>136</v>
      </c>
      <c r="H337" s="10">
        <v>3.0</v>
      </c>
    </row>
    <row r="338" spans="8:8" ht="23.85" hidden="1">
      <c r="A338" s="2">
        <v>1136.0</v>
      </c>
      <c r="B338" s="3" t="s">
        <v>8</v>
      </c>
      <c r="C338" s="3" t="s">
        <v>9</v>
      </c>
      <c r="D338" s="4" t="s">
        <v>14</v>
      </c>
      <c r="E338" s="4" t="s">
        <v>15</v>
      </c>
      <c r="F338" s="4" t="s">
        <v>16</v>
      </c>
      <c r="G338" s="5" t="s">
        <v>17</v>
      </c>
      <c r="H338" s="6">
        <v>0.0</v>
      </c>
    </row>
    <row r="339" spans="8:8" ht="23.85" hidden="1">
      <c r="A339" s="2">
        <v>1137.0</v>
      </c>
      <c r="B339" s="3" t="s">
        <v>8</v>
      </c>
      <c r="C339" s="3" t="s">
        <v>9</v>
      </c>
      <c r="D339" s="4" t="s">
        <v>14</v>
      </c>
      <c r="E339" s="4" t="s">
        <v>15</v>
      </c>
      <c r="F339" s="4" t="s">
        <v>16</v>
      </c>
      <c r="G339" s="5" t="s">
        <v>17</v>
      </c>
      <c r="H339" s="6">
        <v>0.0</v>
      </c>
    </row>
    <row r="340" spans="8:8" ht="23.85" hidden="1">
      <c r="A340" s="2">
        <v>1138.0</v>
      </c>
      <c r="B340" s="3" t="s">
        <v>8</v>
      </c>
      <c r="C340" s="3" t="s">
        <v>9</v>
      </c>
      <c r="D340" s="4" t="s">
        <v>14</v>
      </c>
      <c r="E340" s="4" t="s">
        <v>15</v>
      </c>
      <c r="F340" s="4" t="s">
        <v>16</v>
      </c>
      <c r="G340" s="5" t="s">
        <v>17</v>
      </c>
      <c r="H340" s="6">
        <v>0.0</v>
      </c>
    </row>
    <row r="341" spans="8:8" ht="23.85" hidden="1">
      <c r="A341" s="2">
        <v>1139.0</v>
      </c>
      <c r="B341" s="3" t="s">
        <v>8</v>
      </c>
      <c r="C341" s="3" t="s">
        <v>9</v>
      </c>
      <c r="D341" s="4" t="s">
        <v>14</v>
      </c>
      <c r="E341" s="4" t="s">
        <v>15</v>
      </c>
      <c r="F341" s="4" t="s">
        <v>16</v>
      </c>
      <c r="G341" s="5" t="s">
        <v>17</v>
      </c>
      <c r="H341" s="6">
        <v>0.0</v>
      </c>
    </row>
    <row r="342" spans="8:8" ht="23.85" hidden="1">
      <c r="A342" s="2">
        <v>1140.0</v>
      </c>
      <c r="B342" s="3" t="s">
        <v>8</v>
      </c>
      <c r="C342" s="3" t="s">
        <v>9</v>
      </c>
      <c r="D342" s="4" t="s">
        <v>14</v>
      </c>
      <c r="E342" s="4" t="s">
        <v>15</v>
      </c>
      <c r="F342" s="4" t="s">
        <v>16</v>
      </c>
      <c r="G342" s="5" t="s">
        <v>17</v>
      </c>
      <c r="H342" s="6">
        <v>0.0</v>
      </c>
    </row>
    <row r="343" spans="8:8" ht="15.0">
      <c r="A343" s="2">
        <v>1141.0</v>
      </c>
      <c r="B343" s="7" t="s">
        <v>8</v>
      </c>
      <c r="C343" s="7" t="s">
        <v>18</v>
      </c>
      <c r="D343" s="8" t="s">
        <v>137</v>
      </c>
      <c r="E343" s="8" t="s">
        <v>89</v>
      </c>
      <c r="F343" s="8" t="s">
        <v>69</v>
      </c>
      <c r="G343" s="9" t="s">
        <v>138</v>
      </c>
      <c r="H343" s="10">
        <v>3.0</v>
      </c>
    </row>
    <row r="344" spans="8:8" ht="23.85" hidden="1">
      <c r="A344" s="2">
        <v>1142.0</v>
      </c>
      <c r="B344" s="3" t="s">
        <v>8</v>
      </c>
      <c r="C344" s="3" t="s">
        <v>9</v>
      </c>
      <c r="D344" s="4" t="s">
        <v>14</v>
      </c>
      <c r="E344" s="4" t="s">
        <v>15</v>
      </c>
      <c r="F344" s="4" t="s">
        <v>16</v>
      </c>
      <c r="G344" s="5" t="s">
        <v>17</v>
      </c>
      <c r="H344" s="6">
        <v>0.0</v>
      </c>
    </row>
    <row r="345" spans="8:8" ht="23.85" hidden="1">
      <c r="A345" s="2">
        <v>1143.0</v>
      </c>
      <c r="B345" s="3" t="s">
        <v>8</v>
      </c>
      <c r="C345" s="3" t="s">
        <v>9</v>
      </c>
      <c r="D345" s="4" t="s">
        <v>14</v>
      </c>
      <c r="E345" s="4" t="s">
        <v>15</v>
      </c>
      <c r="F345" s="4" t="s">
        <v>16</v>
      </c>
      <c r="G345" s="5" t="s">
        <v>17</v>
      </c>
      <c r="H345" s="6">
        <v>0.0</v>
      </c>
    </row>
    <row r="346" spans="8:8" ht="23.85" hidden="1">
      <c r="A346" s="2">
        <v>1144.0</v>
      </c>
      <c r="B346" s="3" t="s">
        <v>8</v>
      </c>
      <c r="C346" s="3" t="s">
        <v>9</v>
      </c>
      <c r="D346" s="4" t="s">
        <v>14</v>
      </c>
      <c r="E346" s="4" t="s">
        <v>15</v>
      </c>
      <c r="F346" s="4" t="s">
        <v>16</v>
      </c>
      <c r="G346" s="5" t="s">
        <v>17</v>
      </c>
      <c r="H346" s="6">
        <v>0.0</v>
      </c>
    </row>
    <row r="347" spans="8:8" ht="23.85" hidden="1">
      <c r="A347" s="2">
        <v>1145.0</v>
      </c>
      <c r="B347" s="3" t="s">
        <v>8</v>
      </c>
      <c r="C347" s="3" t="s">
        <v>9</v>
      </c>
      <c r="D347" s="4" t="s">
        <v>14</v>
      </c>
      <c r="E347" s="4" t="s">
        <v>15</v>
      </c>
      <c r="F347" s="4" t="s">
        <v>16</v>
      </c>
      <c r="G347" s="5" t="s">
        <v>17</v>
      </c>
      <c r="H347" s="6">
        <v>0.0</v>
      </c>
    </row>
    <row r="348" spans="8:8" ht="23.85" hidden="1">
      <c r="A348" s="2">
        <v>1146.0</v>
      </c>
      <c r="B348" s="3" t="s">
        <v>8</v>
      </c>
      <c r="C348" s="3" t="s">
        <v>9</v>
      </c>
      <c r="D348" s="4" t="s">
        <v>14</v>
      </c>
      <c r="E348" s="4" t="s">
        <v>15</v>
      </c>
      <c r="F348" s="4" t="s">
        <v>16</v>
      </c>
      <c r="G348" s="5" t="s">
        <v>17</v>
      </c>
      <c r="H348" s="6">
        <v>0.0</v>
      </c>
    </row>
    <row r="349" spans="8:8" ht="23.85" hidden="1">
      <c r="A349" s="2">
        <v>1147.0</v>
      </c>
      <c r="B349" s="3" t="s">
        <v>8</v>
      </c>
      <c r="C349" s="3" t="s">
        <v>9</v>
      </c>
      <c r="D349" s="4" t="s">
        <v>14</v>
      </c>
      <c r="E349" s="4" t="s">
        <v>15</v>
      </c>
      <c r="F349" s="4" t="s">
        <v>16</v>
      </c>
      <c r="G349" s="5" t="s">
        <v>17</v>
      </c>
      <c r="H349" s="6">
        <v>0.0</v>
      </c>
    </row>
    <row r="350" spans="8:8" ht="23.85" hidden="1">
      <c r="A350" s="2">
        <v>1148.0</v>
      </c>
      <c r="B350" s="3" t="s">
        <v>8</v>
      </c>
      <c r="C350" s="3" t="s">
        <v>9</v>
      </c>
      <c r="D350" s="4" t="s">
        <v>14</v>
      </c>
      <c r="E350" s="4" t="s">
        <v>15</v>
      </c>
      <c r="F350" s="4" t="s">
        <v>16</v>
      </c>
      <c r="G350" s="5" t="s">
        <v>17</v>
      </c>
      <c r="H350" s="6">
        <v>0.0</v>
      </c>
    </row>
    <row r="351" spans="8:8" ht="23.85" hidden="1">
      <c r="A351" s="2">
        <v>1149.0</v>
      </c>
      <c r="B351" s="3" t="s">
        <v>8</v>
      </c>
      <c r="C351" s="3" t="s">
        <v>9</v>
      </c>
      <c r="D351" s="4" t="s">
        <v>139</v>
      </c>
      <c r="E351" s="4" t="s">
        <v>11</v>
      </c>
      <c r="F351" s="4" t="s">
        <v>140</v>
      </c>
      <c r="G351" s="5" t="s">
        <v>141</v>
      </c>
      <c r="H351" s="6">
        <v>0.0</v>
      </c>
    </row>
    <row r="352" spans="8:8" ht="23.85" hidden="1">
      <c r="A352" s="2">
        <v>1150.0</v>
      </c>
      <c r="B352" s="3" t="s">
        <v>8</v>
      </c>
      <c r="C352" s="3" t="s">
        <v>9</v>
      </c>
      <c r="D352" s="4" t="s">
        <v>14</v>
      </c>
      <c r="E352" s="4" t="s">
        <v>15</v>
      </c>
      <c r="F352" s="4" t="s">
        <v>16</v>
      </c>
      <c r="G352" s="5" t="s">
        <v>17</v>
      </c>
      <c r="H352" s="6">
        <v>0.0</v>
      </c>
    </row>
    <row r="353" spans="8:8" ht="23.85" hidden="1">
      <c r="A353" s="2">
        <v>1151.0</v>
      </c>
      <c r="B353" s="3" t="s">
        <v>8</v>
      </c>
      <c r="C353" s="3" t="s">
        <v>9</v>
      </c>
      <c r="D353" s="4" t="s">
        <v>14</v>
      </c>
      <c r="E353" s="4" t="s">
        <v>15</v>
      </c>
      <c r="F353" s="4" t="s">
        <v>16</v>
      </c>
      <c r="G353" s="5" t="s">
        <v>17</v>
      </c>
      <c r="H353" s="6">
        <v>0.0</v>
      </c>
    </row>
    <row r="354" spans="8:8" ht="23.85" hidden="1">
      <c r="A354" s="2">
        <v>1152.0</v>
      </c>
      <c r="B354" s="3" t="s">
        <v>8</v>
      </c>
      <c r="C354" s="3" t="s">
        <v>9</v>
      </c>
      <c r="D354" s="4" t="s">
        <v>14</v>
      </c>
      <c r="E354" s="4" t="s">
        <v>15</v>
      </c>
      <c r="F354" s="4" t="s">
        <v>16</v>
      </c>
      <c r="G354" s="5" t="s">
        <v>17</v>
      </c>
      <c r="H354" s="6">
        <v>0.0</v>
      </c>
    </row>
    <row r="355" spans="8:8" ht="23.85" hidden="1">
      <c r="A355" s="2">
        <v>1153.0</v>
      </c>
      <c r="B355" s="3" t="s">
        <v>8</v>
      </c>
      <c r="C355" s="3" t="s">
        <v>9</v>
      </c>
      <c r="D355" s="4" t="s">
        <v>14</v>
      </c>
      <c r="E355" s="4" t="s">
        <v>15</v>
      </c>
      <c r="F355" s="4" t="s">
        <v>16</v>
      </c>
      <c r="G355" s="5" t="s">
        <v>17</v>
      </c>
      <c r="H355" s="6">
        <v>0.0</v>
      </c>
    </row>
    <row r="356" spans="8:8" ht="23.85" hidden="1">
      <c r="A356" s="2">
        <v>1154.0</v>
      </c>
      <c r="B356" s="3" t="s">
        <v>8</v>
      </c>
      <c r="C356" s="3" t="s">
        <v>9</v>
      </c>
      <c r="D356" s="4" t="s">
        <v>14</v>
      </c>
      <c r="E356" s="4" t="s">
        <v>15</v>
      </c>
      <c r="F356" s="4" t="s">
        <v>16</v>
      </c>
      <c r="G356" s="5" t="s">
        <v>17</v>
      </c>
      <c r="H356" s="6">
        <v>0.0</v>
      </c>
    </row>
    <row r="357" spans="8:8" ht="23.85" hidden="1">
      <c r="A357" s="2">
        <v>1155.0</v>
      </c>
      <c r="B357" s="3" t="s">
        <v>8</v>
      </c>
      <c r="C357" s="3" t="s">
        <v>9</v>
      </c>
      <c r="D357" s="4" t="s">
        <v>14</v>
      </c>
      <c r="E357" s="4" t="s">
        <v>15</v>
      </c>
      <c r="F357" s="4" t="s">
        <v>16</v>
      </c>
      <c r="G357" s="5" t="s">
        <v>17</v>
      </c>
      <c r="H357" s="6">
        <v>0.0</v>
      </c>
    </row>
    <row r="358" spans="8:8" ht="23.85" hidden="1">
      <c r="A358" s="2">
        <v>1156.0</v>
      </c>
      <c r="B358" s="3" t="s">
        <v>8</v>
      </c>
      <c r="C358" s="3" t="s">
        <v>9</v>
      </c>
      <c r="D358" s="4" t="s">
        <v>14</v>
      </c>
      <c r="E358" s="4" t="s">
        <v>15</v>
      </c>
      <c r="F358" s="4" t="s">
        <v>16</v>
      </c>
      <c r="G358" s="5" t="s">
        <v>17</v>
      </c>
      <c r="H358" s="6">
        <v>0.0</v>
      </c>
    </row>
    <row r="359" spans="8:8" ht="23.85" hidden="1">
      <c r="A359" s="2">
        <v>1157.0</v>
      </c>
      <c r="B359" s="3" t="s">
        <v>8</v>
      </c>
      <c r="C359" s="3" t="s">
        <v>9</v>
      </c>
      <c r="D359" s="4" t="s">
        <v>14</v>
      </c>
      <c r="E359" s="4" t="s">
        <v>15</v>
      </c>
      <c r="F359" s="4" t="s">
        <v>16</v>
      </c>
      <c r="G359" s="5" t="s">
        <v>17</v>
      </c>
      <c r="H359" s="6">
        <v>0.0</v>
      </c>
    </row>
    <row r="360" spans="8:8" ht="23.85" hidden="1">
      <c r="A360" s="2">
        <v>1158.0</v>
      </c>
      <c r="B360" s="3" t="s">
        <v>8</v>
      </c>
      <c r="C360" s="3" t="s">
        <v>9</v>
      </c>
      <c r="D360" s="4" t="s">
        <v>14</v>
      </c>
      <c r="E360" s="4" t="s">
        <v>15</v>
      </c>
      <c r="F360" s="4" t="s">
        <v>16</v>
      </c>
      <c r="G360" s="5" t="s">
        <v>17</v>
      </c>
      <c r="H360" s="6">
        <v>0.0</v>
      </c>
    </row>
    <row r="361" spans="8:8" ht="23.85" hidden="1">
      <c r="A361" s="2">
        <v>1159.0</v>
      </c>
      <c r="B361" s="3" t="s">
        <v>8</v>
      </c>
      <c r="C361" s="3" t="s">
        <v>9</v>
      </c>
      <c r="D361" s="4" t="s">
        <v>14</v>
      </c>
      <c r="E361" s="4" t="s">
        <v>15</v>
      </c>
      <c r="F361" s="4" t="s">
        <v>16</v>
      </c>
      <c r="G361" s="5" t="s">
        <v>17</v>
      </c>
      <c r="H361" s="6">
        <v>0.0</v>
      </c>
    </row>
    <row r="362" spans="8:8" ht="15.0">
      <c r="A362" s="2">
        <v>1160.0</v>
      </c>
      <c r="B362" s="7" t="s">
        <v>8</v>
      </c>
      <c r="C362" s="7" t="s">
        <v>18</v>
      </c>
      <c r="D362" s="8" t="s">
        <v>142</v>
      </c>
      <c r="E362" s="8" t="s">
        <v>143</v>
      </c>
      <c r="F362" s="8" t="s">
        <v>21</v>
      </c>
      <c r="G362" s="9" t="s">
        <v>144</v>
      </c>
      <c r="H362" s="10">
        <v>3.0</v>
      </c>
    </row>
    <row r="363" spans="8:8" ht="23.85" hidden="1">
      <c r="A363" s="2">
        <v>1161.0</v>
      </c>
      <c r="B363" s="3" t="s">
        <v>8</v>
      </c>
      <c r="C363" s="3" t="s">
        <v>9</v>
      </c>
      <c r="D363" s="4" t="s">
        <v>14</v>
      </c>
      <c r="E363" s="4" t="s">
        <v>15</v>
      </c>
      <c r="F363" s="4" t="s">
        <v>16</v>
      </c>
      <c r="G363" s="5" t="s">
        <v>17</v>
      </c>
      <c r="H363" s="6">
        <v>0.0</v>
      </c>
    </row>
    <row r="364" spans="8:8" ht="23.85" hidden="1">
      <c r="A364" s="2">
        <v>1162.0</v>
      </c>
      <c r="B364" s="3" t="s">
        <v>8</v>
      </c>
      <c r="C364" s="3" t="s">
        <v>9</v>
      </c>
      <c r="D364" s="4" t="s">
        <v>14</v>
      </c>
      <c r="E364" s="4" t="s">
        <v>15</v>
      </c>
      <c r="F364" s="4" t="s">
        <v>16</v>
      </c>
      <c r="G364" s="5" t="s">
        <v>17</v>
      </c>
      <c r="H364" s="6">
        <v>0.0</v>
      </c>
    </row>
    <row r="365" spans="8:8" ht="23.85" hidden="1">
      <c r="A365" s="2">
        <v>1163.0</v>
      </c>
      <c r="B365" s="3" t="s">
        <v>8</v>
      </c>
      <c r="C365" s="3" t="s">
        <v>9</v>
      </c>
      <c r="D365" s="4" t="s">
        <v>14</v>
      </c>
      <c r="E365" s="4" t="s">
        <v>15</v>
      </c>
      <c r="F365" s="4" t="s">
        <v>16</v>
      </c>
      <c r="G365" s="5" t="s">
        <v>17</v>
      </c>
      <c r="H365" s="6">
        <v>0.0</v>
      </c>
    </row>
    <row r="366" spans="8:8" ht="23.85" hidden="1">
      <c r="A366" s="2">
        <v>1164.0</v>
      </c>
      <c r="B366" s="3" t="s">
        <v>8</v>
      </c>
      <c r="C366" s="3" t="s">
        <v>9</v>
      </c>
      <c r="D366" s="4" t="s">
        <v>14</v>
      </c>
      <c r="E366" s="4" t="s">
        <v>15</v>
      </c>
      <c r="F366" s="4" t="s">
        <v>16</v>
      </c>
      <c r="G366" s="5" t="s">
        <v>17</v>
      </c>
      <c r="H366" s="6">
        <v>0.0</v>
      </c>
    </row>
    <row r="367" spans="8:8" ht="23.85" hidden="1">
      <c r="A367" s="2">
        <v>1165.0</v>
      </c>
      <c r="B367" s="3" t="s">
        <v>8</v>
      </c>
      <c r="C367" s="3" t="s">
        <v>9</v>
      </c>
      <c r="D367" s="4" t="s">
        <v>14</v>
      </c>
      <c r="E367" s="4" t="s">
        <v>15</v>
      </c>
      <c r="F367" s="4" t="s">
        <v>16</v>
      </c>
      <c r="G367" s="5" t="s">
        <v>17</v>
      </c>
      <c r="H367" s="6">
        <v>0.0</v>
      </c>
    </row>
    <row r="368" spans="8:8" ht="23.85" hidden="1">
      <c r="A368" s="2">
        <v>1166.0</v>
      </c>
      <c r="B368" s="3" t="s">
        <v>8</v>
      </c>
      <c r="C368" s="3" t="s">
        <v>9</v>
      </c>
      <c r="D368" s="4" t="s">
        <v>14</v>
      </c>
      <c r="E368" s="4" t="s">
        <v>15</v>
      </c>
      <c r="F368" s="4" t="s">
        <v>16</v>
      </c>
      <c r="G368" s="5" t="s">
        <v>17</v>
      </c>
      <c r="H368" s="6">
        <v>0.0</v>
      </c>
    </row>
    <row r="369" spans="8:8" ht="23.85" hidden="1">
      <c r="A369" s="2">
        <v>1167.0</v>
      </c>
      <c r="B369" s="3" t="s">
        <v>8</v>
      </c>
      <c r="C369" s="3" t="s">
        <v>9</v>
      </c>
      <c r="D369" s="4" t="s">
        <v>14</v>
      </c>
      <c r="E369" s="4" t="s">
        <v>15</v>
      </c>
      <c r="F369" s="4" t="s">
        <v>16</v>
      </c>
      <c r="G369" s="5" t="s">
        <v>17</v>
      </c>
      <c r="H369" s="6">
        <v>0.0</v>
      </c>
    </row>
    <row r="370" spans="8:8" ht="23.85" hidden="1">
      <c r="A370" s="2">
        <v>1168.0</v>
      </c>
      <c r="B370" s="3" t="s">
        <v>8</v>
      </c>
      <c r="C370" s="3" t="s">
        <v>9</v>
      </c>
      <c r="D370" s="4" t="s">
        <v>14</v>
      </c>
      <c r="E370" s="4" t="s">
        <v>15</v>
      </c>
      <c r="F370" s="4" t="s">
        <v>16</v>
      </c>
      <c r="G370" s="5" t="s">
        <v>17</v>
      </c>
      <c r="H370" s="6">
        <v>0.0</v>
      </c>
    </row>
    <row r="371" spans="8:8" ht="23.85" hidden="1">
      <c r="A371" s="2">
        <v>1169.0</v>
      </c>
      <c r="B371" s="3" t="s">
        <v>8</v>
      </c>
      <c r="C371" s="3" t="s">
        <v>9</v>
      </c>
      <c r="D371" s="4" t="s">
        <v>14</v>
      </c>
      <c r="E371" s="4" t="s">
        <v>15</v>
      </c>
      <c r="F371" s="4" t="s">
        <v>16</v>
      </c>
      <c r="G371" s="5" t="s">
        <v>17</v>
      </c>
      <c r="H371" s="6">
        <v>0.0</v>
      </c>
    </row>
    <row r="372" spans="8:8" ht="23.85" hidden="1">
      <c r="A372" s="2">
        <v>1170.0</v>
      </c>
      <c r="B372" s="3" t="s">
        <v>8</v>
      </c>
      <c r="C372" s="3" t="s">
        <v>9</v>
      </c>
      <c r="D372" s="4" t="s">
        <v>14</v>
      </c>
      <c r="E372" s="4" t="s">
        <v>15</v>
      </c>
      <c r="F372" s="4" t="s">
        <v>16</v>
      </c>
      <c r="G372" s="5" t="s">
        <v>17</v>
      </c>
      <c r="H372" s="6">
        <v>0.0</v>
      </c>
    </row>
    <row r="373" spans="8:8" ht="23.85" hidden="1">
      <c r="A373" s="2">
        <v>1171.0</v>
      </c>
      <c r="B373" s="3" t="s">
        <v>8</v>
      </c>
      <c r="C373" s="3" t="s">
        <v>9</v>
      </c>
      <c r="D373" s="4" t="s">
        <v>14</v>
      </c>
      <c r="E373" s="4" t="s">
        <v>15</v>
      </c>
      <c r="F373" s="4" t="s">
        <v>16</v>
      </c>
      <c r="G373" s="5" t="s">
        <v>17</v>
      </c>
      <c r="H373" s="6">
        <v>0.0</v>
      </c>
    </row>
    <row r="374" spans="8:8" ht="23.85" hidden="1">
      <c r="A374" s="2">
        <v>1172.0</v>
      </c>
      <c r="B374" s="3" t="s">
        <v>8</v>
      </c>
      <c r="C374" s="3" t="s">
        <v>9</v>
      </c>
      <c r="D374" s="4" t="s">
        <v>14</v>
      </c>
      <c r="E374" s="4" t="s">
        <v>15</v>
      </c>
      <c r="F374" s="4" t="s">
        <v>16</v>
      </c>
      <c r="G374" s="5" t="s">
        <v>17</v>
      </c>
      <c r="H374" s="6">
        <v>0.0</v>
      </c>
    </row>
    <row r="375" spans="8:8" ht="23.85" hidden="1">
      <c r="A375" s="2">
        <v>1173.0</v>
      </c>
      <c r="B375" s="3" t="s">
        <v>8</v>
      </c>
      <c r="C375" s="3" t="s">
        <v>9</v>
      </c>
      <c r="D375" s="4" t="s">
        <v>14</v>
      </c>
      <c r="E375" s="4" t="s">
        <v>15</v>
      </c>
      <c r="F375" s="4" t="s">
        <v>16</v>
      </c>
      <c r="G375" s="5" t="s">
        <v>17</v>
      </c>
      <c r="H375" s="6">
        <v>0.0</v>
      </c>
    </row>
    <row r="376" spans="8:8" ht="23.85" hidden="1">
      <c r="A376" s="2">
        <v>1174.0</v>
      </c>
      <c r="B376" s="3" t="s">
        <v>8</v>
      </c>
      <c r="C376" s="3" t="s">
        <v>9</v>
      </c>
      <c r="D376" s="4" t="s">
        <v>14</v>
      </c>
      <c r="E376" s="4" t="s">
        <v>15</v>
      </c>
      <c r="F376" s="4" t="s">
        <v>16</v>
      </c>
      <c r="G376" s="5" t="s">
        <v>17</v>
      </c>
      <c r="H376" s="6">
        <v>0.0</v>
      </c>
    </row>
    <row r="377" spans="8:8" ht="23.85" hidden="1">
      <c r="A377" s="2">
        <v>1175.0</v>
      </c>
      <c r="B377" s="3" t="s">
        <v>8</v>
      </c>
      <c r="C377" s="3" t="s">
        <v>9</v>
      </c>
      <c r="D377" s="4" t="s">
        <v>14</v>
      </c>
      <c r="E377" s="4" t="s">
        <v>15</v>
      </c>
      <c r="F377" s="4" t="s">
        <v>16</v>
      </c>
      <c r="G377" s="5" t="s">
        <v>17</v>
      </c>
      <c r="H377" s="6">
        <v>0.0</v>
      </c>
    </row>
    <row r="378" spans="8:8" ht="23.85" hidden="1">
      <c r="A378" s="2">
        <v>1176.0</v>
      </c>
      <c r="B378" s="3" t="s">
        <v>8</v>
      </c>
      <c r="C378" s="3" t="s">
        <v>9</v>
      </c>
      <c r="D378" s="4" t="s">
        <v>14</v>
      </c>
      <c r="E378" s="4" t="s">
        <v>15</v>
      </c>
      <c r="F378" s="4" t="s">
        <v>16</v>
      </c>
      <c r="G378" s="5" t="s">
        <v>17</v>
      </c>
      <c r="H378" s="6">
        <v>0.0</v>
      </c>
    </row>
    <row r="379" spans="8:8" ht="23.85" hidden="1">
      <c r="A379" s="2">
        <v>1177.0</v>
      </c>
      <c r="B379" s="3" t="s">
        <v>8</v>
      </c>
      <c r="C379" s="3" t="s">
        <v>9</v>
      </c>
      <c r="D379" s="4" t="s">
        <v>14</v>
      </c>
      <c r="E379" s="4" t="s">
        <v>15</v>
      </c>
      <c r="F379" s="4" t="s">
        <v>16</v>
      </c>
      <c r="G379" s="5" t="s">
        <v>17</v>
      </c>
      <c r="H379" s="6">
        <v>0.0</v>
      </c>
    </row>
    <row r="380" spans="8:8" ht="23.85" hidden="1">
      <c r="A380" s="2">
        <v>1178.0</v>
      </c>
      <c r="B380" s="3" t="s">
        <v>8</v>
      </c>
      <c r="C380" s="3" t="s">
        <v>9</v>
      </c>
      <c r="D380" s="4" t="s">
        <v>14</v>
      </c>
      <c r="E380" s="4" t="s">
        <v>15</v>
      </c>
      <c r="F380" s="4" t="s">
        <v>16</v>
      </c>
      <c r="G380" s="5" t="s">
        <v>17</v>
      </c>
      <c r="H380" s="6">
        <v>0.0</v>
      </c>
    </row>
    <row r="381" spans="8:8" ht="23.85">
      <c r="A381" s="2">
        <v>1179.0</v>
      </c>
      <c r="B381" s="7" t="s">
        <v>8</v>
      </c>
      <c r="C381" s="7" t="s">
        <v>18</v>
      </c>
      <c r="D381" s="8" t="s">
        <v>145</v>
      </c>
      <c r="E381" s="8" t="s">
        <v>146</v>
      </c>
      <c r="F381" s="8" t="s">
        <v>94</v>
      </c>
      <c r="G381" s="9" t="s">
        <v>147</v>
      </c>
      <c r="H381" s="14">
        <v>1.0</v>
      </c>
    </row>
    <row r="382" spans="8:8" ht="23.85" hidden="1">
      <c r="A382" s="2">
        <v>1180.0</v>
      </c>
      <c r="B382" s="3" t="s">
        <v>8</v>
      </c>
      <c r="C382" s="3" t="s">
        <v>9</v>
      </c>
      <c r="D382" s="4" t="s">
        <v>14</v>
      </c>
      <c r="E382" s="4" t="s">
        <v>15</v>
      </c>
      <c r="F382" s="4" t="s">
        <v>16</v>
      </c>
      <c r="G382" s="5" t="s">
        <v>17</v>
      </c>
      <c r="H382" s="6">
        <v>0.0</v>
      </c>
    </row>
    <row r="383" spans="8:8" ht="23.85" hidden="1">
      <c r="A383" s="2">
        <v>1181.0</v>
      </c>
      <c r="B383" s="3" t="s">
        <v>8</v>
      </c>
      <c r="C383" s="3" t="s">
        <v>9</v>
      </c>
      <c r="D383" s="4" t="s">
        <v>14</v>
      </c>
      <c r="E383" s="4" t="s">
        <v>15</v>
      </c>
      <c r="F383" s="4" t="s">
        <v>16</v>
      </c>
      <c r="G383" s="5" t="s">
        <v>17</v>
      </c>
      <c r="H383" s="6">
        <v>0.0</v>
      </c>
    </row>
    <row r="384" spans="8:8" ht="23.85">
      <c r="A384" s="2">
        <v>1182.0</v>
      </c>
      <c r="B384" s="7" t="s">
        <v>8</v>
      </c>
      <c r="C384" s="12" t="s">
        <v>18</v>
      </c>
      <c r="D384" s="8" t="s">
        <v>148</v>
      </c>
      <c r="E384" s="8" t="s">
        <v>149</v>
      </c>
      <c r="F384" s="8" t="s">
        <v>90</v>
      </c>
      <c r="G384" s="9" t="s">
        <v>150</v>
      </c>
      <c r="H384" s="13">
        <v>4.0</v>
      </c>
    </row>
    <row r="385" spans="8:8" ht="23.85" hidden="1">
      <c r="A385" s="2">
        <v>1183.0</v>
      </c>
      <c r="B385" s="3" t="s">
        <v>8</v>
      </c>
      <c r="C385" s="3" t="s">
        <v>9</v>
      </c>
      <c r="D385" s="4" t="s">
        <v>14</v>
      </c>
      <c r="E385" s="4" t="s">
        <v>15</v>
      </c>
      <c r="F385" s="4" t="s">
        <v>16</v>
      </c>
      <c r="G385" s="5" t="s">
        <v>17</v>
      </c>
      <c r="H385" s="6">
        <v>0.0</v>
      </c>
    </row>
    <row r="386" spans="8:8" ht="23.85" hidden="1">
      <c r="A386" s="2">
        <v>1184.0</v>
      </c>
      <c r="B386" s="3" t="s">
        <v>8</v>
      </c>
      <c r="C386" s="3" t="s">
        <v>9</v>
      </c>
      <c r="D386" s="4" t="s">
        <v>14</v>
      </c>
      <c r="E386" s="4" t="s">
        <v>15</v>
      </c>
      <c r="F386" s="4" t="s">
        <v>16</v>
      </c>
      <c r="G386" s="5" t="s">
        <v>17</v>
      </c>
      <c r="H386" s="6">
        <v>0.0</v>
      </c>
    </row>
    <row r="387" spans="8:8" ht="23.85" hidden="1">
      <c r="A387" s="2">
        <v>1185.0</v>
      </c>
      <c r="B387" s="3" t="s">
        <v>8</v>
      </c>
      <c r="C387" s="3" t="s">
        <v>9</v>
      </c>
      <c r="D387" s="4" t="s">
        <v>14</v>
      </c>
      <c r="E387" s="4" t="s">
        <v>15</v>
      </c>
      <c r="F387" s="4" t="s">
        <v>16</v>
      </c>
      <c r="G387" s="5" t="s">
        <v>17</v>
      </c>
      <c r="H387" s="6">
        <v>0.0</v>
      </c>
    </row>
    <row r="388" spans="8:8" ht="23.85" hidden="1">
      <c r="A388" s="2">
        <v>1186.0</v>
      </c>
      <c r="B388" s="3" t="s">
        <v>8</v>
      </c>
      <c r="C388" s="3" t="s">
        <v>9</v>
      </c>
      <c r="D388" s="4" t="s">
        <v>14</v>
      </c>
      <c r="E388" s="4" t="s">
        <v>15</v>
      </c>
      <c r="F388" s="4" t="s">
        <v>16</v>
      </c>
      <c r="G388" s="5" t="s">
        <v>17</v>
      </c>
      <c r="H388" s="6">
        <v>0.0</v>
      </c>
    </row>
    <row r="389" spans="8:8" ht="23.85">
      <c r="A389" s="2">
        <v>1187.0</v>
      </c>
      <c r="B389" s="7" t="s">
        <v>8</v>
      </c>
      <c r="C389" s="7" t="s">
        <v>18</v>
      </c>
      <c r="D389" s="8" t="s">
        <v>151</v>
      </c>
      <c r="E389" s="8" t="s">
        <v>152</v>
      </c>
      <c r="F389" s="8" t="s">
        <v>153</v>
      </c>
      <c r="G389" s="9" t="s">
        <v>154</v>
      </c>
      <c r="H389" s="10">
        <v>3.0</v>
      </c>
    </row>
    <row r="390" spans="8:8" ht="23.85" hidden="1">
      <c r="A390" s="2">
        <v>1188.0</v>
      </c>
      <c r="B390" s="3" t="s">
        <v>8</v>
      </c>
      <c r="C390" s="3" t="s">
        <v>9</v>
      </c>
      <c r="D390" s="4" t="s">
        <v>14</v>
      </c>
      <c r="E390" s="4" t="s">
        <v>15</v>
      </c>
      <c r="F390" s="4" t="s">
        <v>16</v>
      </c>
      <c r="G390" s="5" t="s">
        <v>17</v>
      </c>
      <c r="H390" s="6">
        <v>0.0</v>
      </c>
    </row>
    <row r="391" spans="8:8" ht="23.85" hidden="1">
      <c r="A391" s="2">
        <v>1189.0</v>
      </c>
      <c r="B391" s="3" t="s">
        <v>8</v>
      </c>
      <c r="C391" s="3" t="s">
        <v>9</v>
      </c>
      <c r="D391" s="4" t="s">
        <v>14</v>
      </c>
      <c r="E391" s="4" t="s">
        <v>15</v>
      </c>
      <c r="F391" s="4" t="s">
        <v>16</v>
      </c>
      <c r="G391" s="5" t="s">
        <v>17</v>
      </c>
      <c r="H391" s="6">
        <v>0.0</v>
      </c>
    </row>
    <row r="392" spans="8:8" ht="23.85">
      <c r="A392" s="2">
        <v>1190.0</v>
      </c>
      <c r="B392" s="7" t="s">
        <v>8</v>
      </c>
      <c r="C392" s="7" t="s">
        <v>18</v>
      </c>
      <c r="D392" s="8" t="s">
        <v>155</v>
      </c>
      <c r="E392" s="8" t="s">
        <v>156</v>
      </c>
      <c r="F392" s="8" t="s">
        <v>69</v>
      </c>
      <c r="G392" s="9" t="s">
        <v>157</v>
      </c>
      <c r="H392" s="10">
        <v>3.0</v>
      </c>
    </row>
    <row r="393" spans="8:8" ht="23.85" hidden="1">
      <c r="A393" s="2">
        <v>1191.0</v>
      </c>
      <c r="B393" s="3" t="s">
        <v>8</v>
      </c>
      <c r="C393" s="3" t="s">
        <v>9</v>
      </c>
      <c r="D393" s="4" t="s">
        <v>14</v>
      </c>
      <c r="E393" s="4" t="s">
        <v>15</v>
      </c>
      <c r="F393" s="4" t="s">
        <v>16</v>
      </c>
      <c r="G393" s="5" t="s">
        <v>17</v>
      </c>
      <c r="H393" s="6">
        <v>0.0</v>
      </c>
    </row>
    <row r="394" spans="8:8" ht="23.85" hidden="1">
      <c r="A394" s="2">
        <v>1192.0</v>
      </c>
      <c r="B394" s="3" t="s">
        <v>8</v>
      </c>
      <c r="C394" s="3" t="s">
        <v>9</v>
      </c>
      <c r="D394" s="4" t="s">
        <v>14</v>
      </c>
      <c r="E394" s="4" t="s">
        <v>15</v>
      </c>
      <c r="F394" s="4" t="s">
        <v>16</v>
      </c>
      <c r="G394" s="5" t="s">
        <v>17</v>
      </c>
      <c r="H394" s="6">
        <v>0.0</v>
      </c>
    </row>
    <row r="395" spans="8:8" ht="23.85" hidden="1">
      <c r="A395" s="2">
        <v>1193.0</v>
      </c>
      <c r="B395" s="3" t="s">
        <v>8</v>
      </c>
      <c r="C395" s="3" t="s">
        <v>9</v>
      </c>
      <c r="D395" s="4" t="s">
        <v>14</v>
      </c>
      <c r="E395" s="4" t="s">
        <v>15</v>
      </c>
      <c r="F395" s="4" t="s">
        <v>16</v>
      </c>
      <c r="G395" s="5" t="s">
        <v>17</v>
      </c>
      <c r="H395" s="6">
        <v>0.0</v>
      </c>
    </row>
    <row r="396" spans="8:8" ht="23.85">
      <c r="A396" s="2">
        <v>1194.0</v>
      </c>
      <c r="B396" s="7" t="s">
        <v>8</v>
      </c>
      <c r="C396" s="12" t="s">
        <v>18</v>
      </c>
      <c r="D396" s="8" t="s">
        <v>158</v>
      </c>
      <c r="E396" s="8" t="s">
        <v>111</v>
      </c>
      <c r="F396" s="8" t="s">
        <v>159</v>
      </c>
      <c r="G396" s="9" t="s">
        <v>160</v>
      </c>
      <c r="H396" s="13">
        <v>4.0</v>
      </c>
    </row>
    <row r="397" spans="8:8" ht="23.85" hidden="1">
      <c r="A397" s="2">
        <v>1195.0</v>
      </c>
      <c r="B397" s="3" t="s">
        <v>8</v>
      </c>
      <c r="C397" s="3" t="s">
        <v>9</v>
      </c>
      <c r="D397" s="4" t="s">
        <v>14</v>
      </c>
      <c r="E397" s="4" t="s">
        <v>15</v>
      </c>
      <c r="F397" s="4" t="s">
        <v>16</v>
      </c>
      <c r="G397" s="5" t="s">
        <v>17</v>
      </c>
      <c r="H397" s="6">
        <v>0.0</v>
      </c>
    </row>
    <row r="398" spans="8:8" ht="23.85" hidden="1">
      <c r="A398" s="2">
        <v>1196.0</v>
      </c>
      <c r="B398" s="3" t="s">
        <v>8</v>
      </c>
      <c r="C398" s="3" t="s">
        <v>9</v>
      </c>
      <c r="D398" s="4" t="s">
        <v>14</v>
      </c>
      <c r="E398" s="4" t="s">
        <v>15</v>
      </c>
      <c r="F398" s="4" t="s">
        <v>16</v>
      </c>
      <c r="G398" s="5" t="s">
        <v>17</v>
      </c>
      <c r="H398" s="6">
        <v>0.0</v>
      </c>
    </row>
    <row r="399" spans="8:8" ht="23.85" hidden="1">
      <c r="A399" s="2">
        <v>1197.0</v>
      </c>
      <c r="B399" s="3" t="s">
        <v>8</v>
      </c>
      <c r="C399" s="3" t="s">
        <v>9</v>
      </c>
      <c r="D399" s="4" t="s">
        <v>14</v>
      </c>
      <c r="E399" s="4" t="s">
        <v>15</v>
      </c>
      <c r="F399" s="4" t="s">
        <v>16</v>
      </c>
      <c r="G399" s="5" t="s">
        <v>17</v>
      </c>
      <c r="H399" s="6">
        <v>0.0</v>
      </c>
    </row>
    <row r="400" spans="8:8" ht="23.85" hidden="1">
      <c r="A400" s="2">
        <v>1198.0</v>
      </c>
      <c r="B400" s="3" t="s">
        <v>8</v>
      </c>
      <c r="C400" s="3" t="s">
        <v>9</v>
      </c>
      <c r="D400" s="4" t="s">
        <v>14</v>
      </c>
      <c r="E400" s="4" t="s">
        <v>15</v>
      </c>
      <c r="F400" s="4" t="s">
        <v>16</v>
      </c>
      <c r="G400" s="5" t="s">
        <v>17</v>
      </c>
      <c r="H400" s="6">
        <v>0.0</v>
      </c>
    </row>
    <row r="401" spans="8:8" ht="23.85" hidden="1">
      <c r="A401" s="2">
        <v>1199.0</v>
      </c>
      <c r="B401" s="3" t="s">
        <v>8</v>
      </c>
      <c r="C401" s="3" t="s">
        <v>9</v>
      </c>
      <c r="D401" s="4" t="s">
        <v>14</v>
      </c>
      <c r="E401" s="4" t="s">
        <v>15</v>
      </c>
      <c r="F401" s="4" t="s">
        <v>16</v>
      </c>
      <c r="G401" s="5" t="s">
        <v>17</v>
      </c>
      <c r="H401" s="6">
        <v>0.0</v>
      </c>
    </row>
    <row r="402" spans="8:8" ht="23.85" hidden="1">
      <c r="A402" s="2">
        <v>1200.0</v>
      </c>
      <c r="B402" s="3" t="s">
        <v>8</v>
      </c>
      <c r="C402" s="3" t="s">
        <v>9</v>
      </c>
      <c r="D402" s="4" t="s">
        <v>14</v>
      </c>
      <c r="E402" s="4" t="s">
        <v>15</v>
      </c>
      <c r="F402" s="4" t="s">
        <v>16</v>
      </c>
      <c r="G402" s="5" t="s">
        <v>17</v>
      </c>
      <c r="H402" s="6">
        <v>0.0</v>
      </c>
    </row>
    <row r="403" spans="8:8" ht="23.85" hidden="1">
      <c r="A403" s="2">
        <v>1201.0</v>
      </c>
      <c r="B403" s="3" t="s">
        <v>8</v>
      </c>
      <c r="C403" s="3" t="s">
        <v>9</v>
      </c>
      <c r="D403" s="4" t="s">
        <v>14</v>
      </c>
      <c r="E403" s="4" t="s">
        <v>15</v>
      </c>
      <c r="F403" s="4" t="s">
        <v>16</v>
      </c>
      <c r="G403" s="5" t="s">
        <v>17</v>
      </c>
      <c r="H403" s="6">
        <v>0.0</v>
      </c>
    </row>
    <row r="404" spans="8:8" ht="23.85" hidden="1">
      <c r="A404" s="2">
        <v>1202.0</v>
      </c>
      <c r="B404" s="3" t="s">
        <v>8</v>
      </c>
      <c r="C404" s="3" t="s">
        <v>9</v>
      </c>
      <c r="D404" s="4" t="s">
        <v>14</v>
      </c>
      <c r="E404" s="4" t="s">
        <v>15</v>
      </c>
      <c r="F404" s="4" t="s">
        <v>16</v>
      </c>
      <c r="G404" s="5" t="s">
        <v>17</v>
      </c>
      <c r="H404" s="6">
        <v>0.0</v>
      </c>
    </row>
    <row r="405" spans="8:8" ht="23.85" hidden="1">
      <c r="A405" s="2">
        <v>1203.0</v>
      </c>
      <c r="B405" s="3" t="s">
        <v>8</v>
      </c>
      <c r="C405" s="3" t="s">
        <v>9</v>
      </c>
      <c r="D405" s="4" t="s">
        <v>14</v>
      </c>
      <c r="E405" s="4" t="s">
        <v>15</v>
      </c>
      <c r="F405" s="4" t="s">
        <v>16</v>
      </c>
      <c r="G405" s="5" t="s">
        <v>17</v>
      </c>
      <c r="H405" s="6">
        <v>0.0</v>
      </c>
    </row>
    <row r="406" spans="8:8" ht="35.05">
      <c r="A406" s="2">
        <v>1204.0</v>
      </c>
      <c r="B406" s="7" t="s">
        <v>8</v>
      </c>
      <c r="C406" s="12" t="s">
        <v>18</v>
      </c>
      <c r="D406" s="8" t="s">
        <v>161</v>
      </c>
      <c r="E406" s="8" t="s">
        <v>162</v>
      </c>
      <c r="F406" s="8" t="s">
        <v>120</v>
      </c>
      <c r="G406" s="9" t="s">
        <v>163</v>
      </c>
      <c r="H406" s="15">
        <v>5.0</v>
      </c>
    </row>
    <row r="407" spans="8:8" ht="23.85">
      <c r="A407" s="2">
        <v>1205.0</v>
      </c>
      <c r="B407" s="7" t="s">
        <v>8</v>
      </c>
      <c r="C407" s="12" t="s">
        <v>18</v>
      </c>
      <c r="D407" s="8" t="s">
        <v>164</v>
      </c>
      <c r="E407" s="8" t="s">
        <v>165</v>
      </c>
      <c r="F407" s="8" t="s">
        <v>166</v>
      </c>
      <c r="G407" s="9" t="s">
        <v>167</v>
      </c>
      <c r="H407" s="13">
        <v>4.0</v>
      </c>
    </row>
    <row r="408" spans="8:8" ht="23.85" hidden="1">
      <c r="A408" s="2">
        <v>1206.0</v>
      </c>
      <c r="B408" s="3" t="s">
        <v>8</v>
      </c>
      <c r="C408" s="3" t="s">
        <v>9</v>
      </c>
      <c r="D408" s="4" t="s">
        <v>14</v>
      </c>
      <c r="E408" s="4" t="s">
        <v>15</v>
      </c>
      <c r="F408" s="4" t="s">
        <v>16</v>
      </c>
      <c r="G408" s="5" t="s">
        <v>17</v>
      </c>
      <c r="H408" s="6">
        <v>0.0</v>
      </c>
    </row>
    <row r="409" spans="8:8" ht="23.85" hidden="1">
      <c r="A409" s="2">
        <v>1207.0</v>
      </c>
      <c r="B409" s="3" t="s">
        <v>8</v>
      </c>
      <c r="C409" s="3" t="s">
        <v>9</v>
      </c>
      <c r="D409" s="4" t="s">
        <v>14</v>
      </c>
      <c r="E409" s="4" t="s">
        <v>15</v>
      </c>
      <c r="F409" s="4" t="s">
        <v>16</v>
      </c>
      <c r="G409" s="5" t="s">
        <v>17</v>
      </c>
      <c r="H409" s="6">
        <v>0.0</v>
      </c>
    </row>
    <row r="410" spans="8:8" ht="23.85" hidden="1">
      <c r="A410" s="2">
        <v>1208.0</v>
      </c>
      <c r="B410" s="3" t="s">
        <v>8</v>
      </c>
      <c r="C410" s="3" t="s">
        <v>9</v>
      </c>
      <c r="D410" s="4" t="s">
        <v>14</v>
      </c>
      <c r="E410" s="4" t="s">
        <v>15</v>
      </c>
      <c r="F410" s="4" t="s">
        <v>16</v>
      </c>
      <c r="G410" s="5" t="s">
        <v>17</v>
      </c>
      <c r="H410" s="6">
        <v>0.0</v>
      </c>
    </row>
    <row r="411" spans="8:8" ht="23.85" hidden="1">
      <c r="A411" s="2">
        <v>1209.0</v>
      </c>
      <c r="B411" s="3" t="s">
        <v>8</v>
      </c>
      <c r="C411" s="3" t="s">
        <v>9</v>
      </c>
      <c r="D411" s="4" t="s">
        <v>14</v>
      </c>
      <c r="E411" s="4" t="s">
        <v>15</v>
      </c>
      <c r="F411" s="4" t="s">
        <v>16</v>
      </c>
      <c r="G411" s="5" t="s">
        <v>17</v>
      </c>
      <c r="H411" s="6">
        <v>0.0</v>
      </c>
    </row>
    <row r="412" spans="8:8" ht="23.85">
      <c r="A412" s="2">
        <v>1210.0</v>
      </c>
      <c r="B412" s="7" t="s">
        <v>8</v>
      </c>
      <c r="C412" s="7" t="s">
        <v>18</v>
      </c>
      <c r="D412" s="8" t="s">
        <v>168</v>
      </c>
      <c r="E412" s="8" t="s">
        <v>27</v>
      </c>
      <c r="F412" s="8" t="s">
        <v>69</v>
      </c>
      <c r="G412" s="9" t="s">
        <v>169</v>
      </c>
      <c r="H412" s="10">
        <v>3.0</v>
      </c>
    </row>
    <row r="413" spans="8:8" ht="23.85" hidden="1">
      <c r="A413" s="2">
        <v>1211.0</v>
      </c>
      <c r="B413" s="3" t="s">
        <v>8</v>
      </c>
      <c r="C413" s="3" t="s">
        <v>9</v>
      </c>
      <c r="D413" s="4" t="s">
        <v>14</v>
      </c>
      <c r="E413" s="4" t="s">
        <v>15</v>
      </c>
      <c r="F413" s="4" t="s">
        <v>16</v>
      </c>
      <c r="G413" s="5" t="s">
        <v>17</v>
      </c>
      <c r="H413" s="6">
        <v>0.0</v>
      </c>
    </row>
    <row r="414" spans="8:8" ht="23.85" hidden="1">
      <c r="A414" s="2">
        <v>1212.0</v>
      </c>
      <c r="B414" s="3" t="s">
        <v>8</v>
      </c>
      <c r="C414" s="3" t="s">
        <v>9</v>
      </c>
      <c r="D414" s="4" t="s">
        <v>14</v>
      </c>
      <c r="E414" s="4" t="s">
        <v>15</v>
      </c>
      <c r="F414" s="4" t="s">
        <v>16</v>
      </c>
      <c r="G414" s="5" t="s">
        <v>17</v>
      </c>
      <c r="H414" s="6">
        <v>0.0</v>
      </c>
    </row>
    <row r="415" spans="8:8" ht="23.85" hidden="1">
      <c r="A415" s="2">
        <v>1213.0</v>
      </c>
      <c r="B415" s="3" t="s">
        <v>8</v>
      </c>
      <c r="C415" s="3" t="s">
        <v>9</v>
      </c>
      <c r="D415" s="4" t="s">
        <v>14</v>
      </c>
      <c r="E415" s="4" t="s">
        <v>15</v>
      </c>
      <c r="F415" s="4" t="s">
        <v>16</v>
      </c>
      <c r="G415" s="5" t="s">
        <v>17</v>
      </c>
      <c r="H415" s="6">
        <v>0.0</v>
      </c>
    </row>
    <row r="416" spans="8:8" ht="23.85" hidden="1">
      <c r="A416" s="2">
        <v>1214.0</v>
      </c>
      <c r="B416" s="3" t="s">
        <v>8</v>
      </c>
      <c r="C416" s="3" t="s">
        <v>9</v>
      </c>
      <c r="D416" s="4" t="s">
        <v>14</v>
      </c>
      <c r="E416" s="4" t="s">
        <v>15</v>
      </c>
      <c r="F416" s="4" t="s">
        <v>16</v>
      </c>
      <c r="G416" s="5" t="s">
        <v>17</v>
      </c>
      <c r="H416" s="6">
        <v>0.0</v>
      </c>
    </row>
    <row r="417" spans="8:8" ht="23.85">
      <c r="A417" s="2">
        <v>1215.0</v>
      </c>
      <c r="B417" s="7" t="s">
        <v>8</v>
      </c>
      <c r="C417" s="7" t="s">
        <v>18</v>
      </c>
      <c r="D417" s="8" t="s">
        <v>170</v>
      </c>
      <c r="E417" s="8" t="s">
        <v>171</v>
      </c>
      <c r="F417" s="8" t="s">
        <v>172</v>
      </c>
      <c r="G417" s="9" t="s">
        <v>173</v>
      </c>
      <c r="H417" s="14">
        <v>1.0</v>
      </c>
    </row>
    <row r="418" spans="8:8" ht="23.85" hidden="1">
      <c r="A418" s="2">
        <v>1216.0</v>
      </c>
      <c r="B418" s="3" t="s">
        <v>8</v>
      </c>
      <c r="C418" s="3" t="s">
        <v>9</v>
      </c>
      <c r="D418" s="4" t="s">
        <v>14</v>
      </c>
      <c r="E418" s="4" t="s">
        <v>15</v>
      </c>
      <c r="F418" s="4" t="s">
        <v>16</v>
      </c>
      <c r="G418" s="5" t="s">
        <v>17</v>
      </c>
      <c r="H418" s="6">
        <v>0.0</v>
      </c>
    </row>
    <row r="419" spans="8:8" ht="23.85" hidden="1">
      <c r="A419" s="2">
        <v>1217.0</v>
      </c>
      <c r="B419" s="3" t="s">
        <v>8</v>
      </c>
      <c r="C419" s="3" t="s">
        <v>9</v>
      </c>
      <c r="D419" s="4" t="s">
        <v>14</v>
      </c>
      <c r="E419" s="4" t="s">
        <v>15</v>
      </c>
      <c r="F419" s="4" t="s">
        <v>16</v>
      </c>
      <c r="G419" s="5" t="s">
        <v>17</v>
      </c>
      <c r="H419" s="6">
        <v>0.0</v>
      </c>
    </row>
    <row r="420" spans="8:8" ht="23.85" hidden="1">
      <c r="A420" s="2">
        <v>1218.0</v>
      </c>
      <c r="B420" s="3" t="s">
        <v>8</v>
      </c>
      <c r="C420" s="3" t="s">
        <v>9</v>
      </c>
      <c r="D420" s="4" t="s">
        <v>14</v>
      </c>
      <c r="E420" s="4" t="s">
        <v>15</v>
      </c>
      <c r="F420" s="4" t="s">
        <v>16</v>
      </c>
      <c r="G420" s="5" t="s">
        <v>17</v>
      </c>
      <c r="H420" s="6">
        <v>0.0</v>
      </c>
    </row>
    <row r="421" spans="8:8" ht="23.85" hidden="1">
      <c r="A421" s="2">
        <v>1219.0</v>
      </c>
      <c r="B421" s="3" t="s">
        <v>8</v>
      </c>
      <c r="C421" s="3" t="s">
        <v>9</v>
      </c>
      <c r="D421" s="4" t="s">
        <v>14</v>
      </c>
      <c r="E421" s="4" t="s">
        <v>15</v>
      </c>
      <c r="F421" s="4" t="s">
        <v>16</v>
      </c>
      <c r="G421" s="5" t="s">
        <v>17</v>
      </c>
      <c r="H421" s="6">
        <v>0.0</v>
      </c>
    </row>
    <row r="422" spans="8:8" ht="23.85">
      <c r="A422" s="2">
        <v>1220.0</v>
      </c>
      <c r="B422" s="7" t="s">
        <v>8</v>
      </c>
      <c r="C422" s="12" t="s">
        <v>18</v>
      </c>
      <c r="D422" s="8" t="s">
        <v>174</v>
      </c>
      <c r="E422" s="8" t="s">
        <v>39</v>
      </c>
      <c r="F422" s="8" t="s">
        <v>175</v>
      </c>
      <c r="G422" s="9" t="s">
        <v>176</v>
      </c>
      <c r="H422" s="15">
        <v>5.0</v>
      </c>
    </row>
    <row r="423" spans="8:8" ht="23.85">
      <c r="A423" s="2">
        <v>1221.0</v>
      </c>
      <c r="B423" s="7" t="s">
        <v>8</v>
      </c>
      <c r="C423" s="12" t="s">
        <v>18</v>
      </c>
      <c r="D423" s="8" t="s">
        <v>177</v>
      </c>
      <c r="E423" s="8" t="s">
        <v>39</v>
      </c>
      <c r="F423" s="8" t="s">
        <v>178</v>
      </c>
      <c r="G423" s="9" t="s">
        <v>179</v>
      </c>
      <c r="H423" s="13">
        <v>4.0</v>
      </c>
    </row>
    <row r="424" spans="8:8" ht="23.85" hidden="1">
      <c r="A424" s="2">
        <v>1222.0</v>
      </c>
      <c r="B424" s="3" t="s">
        <v>8</v>
      </c>
      <c r="C424" s="3" t="s">
        <v>9</v>
      </c>
      <c r="D424" s="4" t="s">
        <v>14</v>
      </c>
      <c r="E424" s="4" t="s">
        <v>15</v>
      </c>
      <c r="F424" s="4" t="s">
        <v>16</v>
      </c>
      <c r="G424" s="5" t="s">
        <v>17</v>
      </c>
      <c r="H424" s="6">
        <v>0.0</v>
      </c>
    </row>
    <row r="425" spans="8:8" ht="23.85" hidden="1">
      <c r="A425" s="2">
        <v>1223.0</v>
      </c>
      <c r="B425" s="3" t="s">
        <v>8</v>
      </c>
      <c r="C425" s="3" t="s">
        <v>9</v>
      </c>
      <c r="D425" s="4" t="s">
        <v>14</v>
      </c>
      <c r="E425" s="4" t="s">
        <v>15</v>
      </c>
      <c r="F425" s="4" t="s">
        <v>16</v>
      </c>
      <c r="G425" s="5" t="s">
        <v>17</v>
      </c>
      <c r="H425" s="6">
        <v>0.0</v>
      </c>
    </row>
    <row r="426" spans="8:8" ht="23.85">
      <c r="A426" s="2">
        <v>1224.0</v>
      </c>
      <c r="B426" s="7" t="s">
        <v>8</v>
      </c>
      <c r="C426" s="12" t="s">
        <v>18</v>
      </c>
      <c r="D426" s="8" t="s">
        <v>180</v>
      </c>
      <c r="E426" s="8" t="s">
        <v>181</v>
      </c>
      <c r="F426" s="8" t="s">
        <v>182</v>
      </c>
      <c r="G426" s="9" t="s">
        <v>183</v>
      </c>
      <c r="H426" s="13">
        <v>4.0</v>
      </c>
    </row>
    <row r="427" spans="8:8" ht="23.85" hidden="1">
      <c r="A427" s="2">
        <v>1225.0</v>
      </c>
      <c r="B427" s="3" t="s">
        <v>8</v>
      </c>
      <c r="C427" s="3" t="s">
        <v>9</v>
      </c>
      <c r="D427" s="4" t="s">
        <v>14</v>
      </c>
      <c r="E427" s="4" t="s">
        <v>15</v>
      </c>
      <c r="F427" s="4" t="s">
        <v>16</v>
      </c>
      <c r="G427" s="5" t="s">
        <v>17</v>
      </c>
      <c r="H427" s="6">
        <v>0.0</v>
      </c>
    </row>
    <row r="428" spans="8:8" ht="23.85" hidden="1">
      <c r="A428" s="2">
        <v>1226.0</v>
      </c>
      <c r="B428" s="3" t="s">
        <v>8</v>
      </c>
      <c r="C428" s="3" t="s">
        <v>9</v>
      </c>
      <c r="D428" s="4" t="s">
        <v>14</v>
      </c>
      <c r="E428" s="4" t="s">
        <v>15</v>
      </c>
      <c r="F428" s="4" t="s">
        <v>16</v>
      </c>
      <c r="G428" s="5" t="s">
        <v>17</v>
      </c>
      <c r="H428" s="6">
        <v>0.0</v>
      </c>
    </row>
    <row r="429" spans="8:8" ht="23.85" hidden="1">
      <c r="A429" s="2">
        <v>1227.0</v>
      </c>
      <c r="B429" s="3" t="s">
        <v>8</v>
      </c>
      <c r="C429" s="3" t="s">
        <v>9</v>
      </c>
      <c r="D429" s="4" t="s">
        <v>14</v>
      </c>
      <c r="E429" s="4" t="s">
        <v>15</v>
      </c>
      <c r="F429" s="4" t="s">
        <v>16</v>
      </c>
      <c r="G429" s="5" t="s">
        <v>17</v>
      </c>
      <c r="H429" s="6">
        <v>0.0</v>
      </c>
    </row>
    <row r="430" spans="8:8" ht="23.85" hidden="1">
      <c r="A430" s="2">
        <v>1228.0</v>
      </c>
      <c r="B430" s="3" t="s">
        <v>8</v>
      </c>
      <c r="C430" s="3" t="s">
        <v>9</v>
      </c>
      <c r="D430" s="4" t="s">
        <v>14</v>
      </c>
      <c r="E430" s="4" t="s">
        <v>15</v>
      </c>
      <c r="F430" s="4" t="s">
        <v>16</v>
      </c>
      <c r="G430" s="5" t="s">
        <v>17</v>
      </c>
      <c r="H430" s="6">
        <v>0.0</v>
      </c>
    </row>
    <row r="431" spans="8:8" ht="23.85" hidden="1">
      <c r="A431" s="2">
        <v>1229.0</v>
      </c>
      <c r="B431" s="3" t="s">
        <v>8</v>
      </c>
      <c r="C431" s="3" t="s">
        <v>9</v>
      </c>
      <c r="D431" s="4" t="s">
        <v>14</v>
      </c>
      <c r="E431" s="4" t="s">
        <v>15</v>
      </c>
      <c r="F431" s="4" t="s">
        <v>16</v>
      </c>
      <c r="G431" s="5" t="s">
        <v>17</v>
      </c>
      <c r="H431" s="6">
        <v>0.0</v>
      </c>
    </row>
    <row r="432" spans="8:8" ht="23.85" hidden="1">
      <c r="A432" s="2">
        <v>1230.0</v>
      </c>
      <c r="B432" s="3" t="s">
        <v>8</v>
      </c>
      <c r="C432" s="3" t="s">
        <v>9</v>
      </c>
      <c r="D432" s="4" t="s">
        <v>14</v>
      </c>
      <c r="E432" s="4" t="s">
        <v>15</v>
      </c>
      <c r="F432" s="4" t="s">
        <v>16</v>
      </c>
      <c r="G432" s="5" t="s">
        <v>17</v>
      </c>
      <c r="H432" s="6">
        <v>0.0</v>
      </c>
    </row>
    <row r="433" spans="8:8" ht="23.85" hidden="1">
      <c r="A433" s="2">
        <v>1231.0</v>
      </c>
      <c r="B433" s="3" t="s">
        <v>8</v>
      </c>
      <c r="C433" s="3" t="s">
        <v>9</v>
      </c>
      <c r="D433" s="4" t="s">
        <v>14</v>
      </c>
      <c r="E433" s="4" t="s">
        <v>15</v>
      </c>
      <c r="F433" s="4" t="s">
        <v>16</v>
      </c>
      <c r="G433" s="5" t="s">
        <v>17</v>
      </c>
      <c r="H433" s="6">
        <v>0.0</v>
      </c>
    </row>
    <row r="434" spans="8:8" ht="23.85" hidden="1">
      <c r="A434" s="2">
        <v>1232.0</v>
      </c>
      <c r="B434" s="3" t="s">
        <v>8</v>
      </c>
      <c r="C434" s="3" t="s">
        <v>9</v>
      </c>
      <c r="D434" s="4" t="s">
        <v>14</v>
      </c>
      <c r="E434" s="4" t="s">
        <v>15</v>
      </c>
      <c r="F434" s="4" t="s">
        <v>16</v>
      </c>
      <c r="G434" s="5" t="s">
        <v>17</v>
      </c>
      <c r="H434" s="6">
        <v>0.0</v>
      </c>
    </row>
    <row r="435" spans="8:8" ht="23.85" hidden="1">
      <c r="A435" s="2">
        <v>1233.0</v>
      </c>
      <c r="B435" s="3" t="s">
        <v>8</v>
      </c>
      <c r="C435" s="3" t="s">
        <v>9</v>
      </c>
      <c r="D435" s="4" t="s">
        <v>14</v>
      </c>
      <c r="E435" s="4" t="s">
        <v>15</v>
      </c>
      <c r="F435" s="4" t="s">
        <v>16</v>
      </c>
      <c r="G435" s="5" t="s">
        <v>17</v>
      </c>
      <c r="H435" s="6">
        <v>0.0</v>
      </c>
    </row>
    <row r="436" spans="8:8" ht="23.85" hidden="1">
      <c r="A436" s="2">
        <v>1234.0</v>
      </c>
      <c r="B436" s="3" t="s">
        <v>8</v>
      </c>
      <c r="C436" s="3" t="s">
        <v>9</v>
      </c>
      <c r="D436" s="4" t="s">
        <v>14</v>
      </c>
      <c r="E436" s="4" t="s">
        <v>15</v>
      </c>
      <c r="F436" s="4" t="s">
        <v>16</v>
      </c>
      <c r="G436" s="5" t="s">
        <v>17</v>
      </c>
      <c r="H436" s="6">
        <v>0.0</v>
      </c>
    </row>
    <row r="437" spans="8:8" ht="23.85" hidden="1">
      <c r="A437" s="2">
        <v>1235.0</v>
      </c>
      <c r="B437" s="3" t="s">
        <v>8</v>
      </c>
      <c r="C437" s="3" t="s">
        <v>9</v>
      </c>
      <c r="D437" s="4" t="s">
        <v>14</v>
      </c>
      <c r="E437" s="4" t="s">
        <v>15</v>
      </c>
      <c r="F437" s="4" t="s">
        <v>16</v>
      </c>
      <c r="G437" s="5" t="s">
        <v>17</v>
      </c>
      <c r="H437" s="6">
        <v>0.0</v>
      </c>
    </row>
    <row r="438" spans="8:8" ht="23.85" hidden="1">
      <c r="A438" s="2">
        <v>1236.0</v>
      </c>
      <c r="B438" s="3" t="s">
        <v>8</v>
      </c>
      <c r="C438" s="3" t="s">
        <v>9</v>
      </c>
      <c r="D438" s="4" t="s">
        <v>14</v>
      </c>
      <c r="E438" s="4" t="s">
        <v>15</v>
      </c>
      <c r="F438" s="4" t="s">
        <v>16</v>
      </c>
      <c r="G438" s="5" t="s">
        <v>17</v>
      </c>
      <c r="H438" s="6">
        <v>0.0</v>
      </c>
    </row>
    <row r="439" spans="8:8" ht="23.85" hidden="1">
      <c r="A439" s="2">
        <v>1237.0</v>
      </c>
      <c r="B439" s="3" t="s">
        <v>8</v>
      </c>
      <c r="C439" s="3" t="s">
        <v>9</v>
      </c>
      <c r="D439" s="4" t="s">
        <v>14</v>
      </c>
      <c r="E439" s="4" t="s">
        <v>15</v>
      </c>
      <c r="F439" s="4" t="s">
        <v>16</v>
      </c>
      <c r="G439" s="5" t="s">
        <v>17</v>
      </c>
      <c r="H439" s="6">
        <v>0.0</v>
      </c>
    </row>
    <row r="440" spans="8:8" ht="23.85" hidden="1">
      <c r="A440" s="2">
        <v>1238.0</v>
      </c>
      <c r="B440" s="3" t="s">
        <v>8</v>
      </c>
      <c r="C440" s="3" t="s">
        <v>9</v>
      </c>
      <c r="D440" s="4" t="s">
        <v>14</v>
      </c>
      <c r="E440" s="4" t="s">
        <v>15</v>
      </c>
      <c r="F440" s="4" t="s">
        <v>16</v>
      </c>
      <c r="G440" s="5" t="s">
        <v>17</v>
      </c>
      <c r="H440" s="6">
        <v>0.0</v>
      </c>
    </row>
    <row r="441" spans="8:8" ht="23.85" hidden="1">
      <c r="A441" s="2">
        <v>1239.0</v>
      </c>
      <c r="B441" s="3" t="s">
        <v>8</v>
      </c>
      <c r="C441" s="3" t="s">
        <v>9</v>
      </c>
      <c r="D441" s="4" t="s">
        <v>14</v>
      </c>
      <c r="E441" s="4" t="s">
        <v>15</v>
      </c>
      <c r="F441" s="4" t="s">
        <v>16</v>
      </c>
      <c r="G441" s="5" t="s">
        <v>17</v>
      </c>
      <c r="H441" s="6">
        <v>0.0</v>
      </c>
    </row>
    <row r="442" spans="8:8" ht="23.85">
      <c r="A442" s="2">
        <v>1240.0</v>
      </c>
      <c r="B442" s="7" t="s">
        <v>8</v>
      </c>
      <c r="C442" s="7" t="s">
        <v>18</v>
      </c>
      <c r="D442" s="8" t="s">
        <v>184</v>
      </c>
      <c r="E442" s="8" t="s">
        <v>11</v>
      </c>
      <c r="F442" s="8" t="s">
        <v>185</v>
      </c>
      <c r="G442" s="9" t="s">
        <v>186</v>
      </c>
      <c r="H442" s="14">
        <v>1.0</v>
      </c>
    </row>
    <row r="443" spans="8:8" ht="23.85" hidden="1">
      <c r="A443" s="2">
        <v>1241.0</v>
      </c>
      <c r="B443" s="3" t="s">
        <v>8</v>
      </c>
      <c r="C443" s="3" t="s">
        <v>9</v>
      </c>
      <c r="D443" s="4" t="s">
        <v>14</v>
      </c>
      <c r="E443" s="4" t="s">
        <v>15</v>
      </c>
      <c r="F443" s="4" t="s">
        <v>16</v>
      </c>
      <c r="G443" s="5" t="s">
        <v>17</v>
      </c>
      <c r="H443" s="6">
        <v>0.0</v>
      </c>
    </row>
    <row r="444" spans="8:8" ht="23.85" hidden="1">
      <c r="A444" s="2">
        <v>1242.0</v>
      </c>
      <c r="B444" s="3" t="s">
        <v>8</v>
      </c>
      <c r="C444" s="3" t="s">
        <v>9</v>
      </c>
      <c r="D444" s="4" t="s">
        <v>14</v>
      </c>
      <c r="E444" s="4" t="s">
        <v>15</v>
      </c>
      <c r="F444" s="4" t="s">
        <v>16</v>
      </c>
      <c r="G444" s="5" t="s">
        <v>17</v>
      </c>
      <c r="H444" s="6">
        <v>0.0</v>
      </c>
    </row>
    <row r="445" spans="8:8" ht="23.85" hidden="1">
      <c r="A445" s="2">
        <v>1243.0</v>
      </c>
      <c r="B445" s="3" t="s">
        <v>8</v>
      </c>
      <c r="C445" s="3" t="s">
        <v>9</v>
      </c>
      <c r="D445" s="4" t="s">
        <v>14</v>
      </c>
      <c r="E445" s="4" t="s">
        <v>15</v>
      </c>
      <c r="F445" s="4" t="s">
        <v>16</v>
      </c>
      <c r="G445" s="5" t="s">
        <v>17</v>
      </c>
      <c r="H445" s="6">
        <v>0.0</v>
      </c>
    </row>
    <row r="446" spans="8:8" ht="23.85" hidden="1">
      <c r="A446" s="2">
        <v>1244.0</v>
      </c>
      <c r="B446" s="3" t="s">
        <v>8</v>
      </c>
      <c r="C446" s="3" t="s">
        <v>9</v>
      </c>
      <c r="D446" s="4" t="s">
        <v>14</v>
      </c>
      <c r="E446" s="4" t="s">
        <v>15</v>
      </c>
      <c r="F446" s="4" t="s">
        <v>16</v>
      </c>
      <c r="G446" s="5" t="s">
        <v>17</v>
      </c>
      <c r="H446" s="6">
        <v>0.0</v>
      </c>
    </row>
    <row r="447" spans="8:8" ht="23.85" hidden="1">
      <c r="A447" s="2">
        <v>1245.0</v>
      </c>
      <c r="B447" s="3" t="s">
        <v>8</v>
      </c>
      <c r="C447" s="3" t="s">
        <v>9</v>
      </c>
      <c r="D447" s="4" t="s">
        <v>14</v>
      </c>
      <c r="E447" s="4" t="s">
        <v>15</v>
      </c>
      <c r="F447" s="4" t="s">
        <v>16</v>
      </c>
      <c r="G447" s="5" t="s">
        <v>17</v>
      </c>
      <c r="H447" s="6">
        <v>0.0</v>
      </c>
    </row>
    <row r="448" spans="8:8" ht="23.85" hidden="1">
      <c r="A448" s="2">
        <v>1246.0</v>
      </c>
      <c r="B448" s="3" t="s">
        <v>8</v>
      </c>
      <c r="C448" s="3" t="s">
        <v>9</v>
      </c>
      <c r="D448" s="4" t="s">
        <v>14</v>
      </c>
      <c r="E448" s="4" t="s">
        <v>15</v>
      </c>
      <c r="F448" s="4" t="s">
        <v>16</v>
      </c>
      <c r="G448" s="5" t="s">
        <v>17</v>
      </c>
      <c r="H448" s="6">
        <v>0.0</v>
      </c>
    </row>
    <row r="449" spans="8:8" ht="23.85" hidden="1">
      <c r="A449" s="2">
        <v>1247.0</v>
      </c>
      <c r="B449" s="3" t="s">
        <v>8</v>
      </c>
      <c r="C449" s="3" t="s">
        <v>9</v>
      </c>
      <c r="D449" s="4" t="s">
        <v>14</v>
      </c>
      <c r="E449" s="4" t="s">
        <v>15</v>
      </c>
      <c r="F449" s="4" t="s">
        <v>16</v>
      </c>
      <c r="G449" s="5" t="s">
        <v>17</v>
      </c>
      <c r="H449" s="6">
        <v>0.0</v>
      </c>
    </row>
    <row r="450" spans="8:8" ht="23.85" hidden="1">
      <c r="A450" s="2">
        <v>1248.0</v>
      </c>
      <c r="B450" s="3" t="s">
        <v>8</v>
      </c>
      <c r="C450" s="3" t="s">
        <v>9</v>
      </c>
      <c r="D450" s="4" t="s">
        <v>14</v>
      </c>
      <c r="E450" s="4" t="s">
        <v>15</v>
      </c>
      <c r="F450" s="4" t="s">
        <v>16</v>
      </c>
      <c r="G450" s="5" t="s">
        <v>17</v>
      </c>
      <c r="H450" s="6">
        <v>0.0</v>
      </c>
    </row>
    <row r="451" spans="8:8" ht="23.85" hidden="1">
      <c r="A451" s="2">
        <v>1249.0</v>
      </c>
      <c r="B451" s="3" t="s">
        <v>8</v>
      </c>
      <c r="C451" s="3" t="s">
        <v>9</v>
      </c>
      <c r="D451" s="4" t="s">
        <v>14</v>
      </c>
      <c r="E451" s="4" t="s">
        <v>15</v>
      </c>
      <c r="F451" s="4" t="s">
        <v>16</v>
      </c>
      <c r="G451" s="5" t="s">
        <v>17</v>
      </c>
      <c r="H451" s="6">
        <v>0.0</v>
      </c>
    </row>
    <row r="452" spans="8:8" ht="15.0">
      <c r="A452" s="2">
        <v>1250.0</v>
      </c>
      <c r="B452" s="7" t="s">
        <v>8</v>
      </c>
      <c r="C452" s="7" t="s">
        <v>18</v>
      </c>
      <c r="D452" s="8" t="s">
        <v>187</v>
      </c>
      <c r="E452" s="8" t="s">
        <v>111</v>
      </c>
      <c r="F452" s="8" t="s">
        <v>188</v>
      </c>
      <c r="G452" s="9" t="s">
        <v>189</v>
      </c>
      <c r="H452" s="10">
        <v>3.0</v>
      </c>
    </row>
    <row r="453" spans="8:8" ht="23.85" hidden="1">
      <c r="A453" s="2">
        <v>1251.0</v>
      </c>
      <c r="B453" s="3" t="s">
        <v>8</v>
      </c>
      <c r="C453" s="3" t="s">
        <v>9</v>
      </c>
      <c r="D453" s="4" t="s">
        <v>14</v>
      </c>
      <c r="E453" s="4" t="s">
        <v>15</v>
      </c>
      <c r="F453" s="4" t="s">
        <v>16</v>
      </c>
      <c r="G453" s="5" t="s">
        <v>17</v>
      </c>
      <c r="H453" s="6">
        <v>0.0</v>
      </c>
    </row>
    <row r="454" spans="8:8" ht="23.85" hidden="1">
      <c r="A454" s="2">
        <v>1252.0</v>
      </c>
      <c r="B454" s="3" t="s">
        <v>8</v>
      </c>
      <c r="C454" s="3" t="s">
        <v>9</v>
      </c>
      <c r="D454" s="4" t="s">
        <v>190</v>
      </c>
      <c r="E454" s="4" t="s">
        <v>11</v>
      </c>
      <c r="F454" s="4" t="s">
        <v>191</v>
      </c>
      <c r="G454" s="5" t="s">
        <v>192</v>
      </c>
      <c r="H454" s="6">
        <v>0.0</v>
      </c>
    </row>
    <row r="455" spans="8:8" ht="23.85" hidden="1">
      <c r="A455" s="2">
        <v>1253.0</v>
      </c>
      <c r="B455" s="3" t="s">
        <v>8</v>
      </c>
      <c r="C455" s="3" t="s">
        <v>9</v>
      </c>
      <c r="D455" s="4" t="s">
        <v>14</v>
      </c>
      <c r="E455" s="4" t="s">
        <v>15</v>
      </c>
      <c r="F455" s="4" t="s">
        <v>16</v>
      </c>
      <c r="G455" s="5" t="s">
        <v>17</v>
      </c>
      <c r="H455" s="6">
        <v>0.0</v>
      </c>
    </row>
    <row r="456" spans="8:8" ht="23.85">
      <c r="A456" s="2">
        <v>1254.0</v>
      </c>
      <c r="B456" s="7" t="s">
        <v>8</v>
      </c>
      <c r="C456" s="12" t="s">
        <v>18</v>
      </c>
      <c r="D456" s="8" t="s">
        <v>193</v>
      </c>
      <c r="E456" s="8" t="s">
        <v>60</v>
      </c>
      <c r="F456" s="8" t="s">
        <v>194</v>
      </c>
      <c r="G456" s="9" t="s">
        <v>195</v>
      </c>
      <c r="H456" s="13">
        <v>4.0</v>
      </c>
    </row>
    <row r="457" spans="8:8" ht="23.85" hidden="1">
      <c r="A457" s="2">
        <v>1255.0</v>
      </c>
      <c r="B457" s="3" t="s">
        <v>8</v>
      </c>
      <c r="C457" s="3" t="s">
        <v>9</v>
      </c>
      <c r="D457" s="4" t="s">
        <v>14</v>
      </c>
      <c r="E457" s="4" t="s">
        <v>15</v>
      </c>
      <c r="F457" s="4" t="s">
        <v>16</v>
      </c>
      <c r="G457" s="5" t="s">
        <v>17</v>
      </c>
      <c r="H457" s="6">
        <v>0.0</v>
      </c>
    </row>
    <row r="458" spans="8:8" ht="23.85" hidden="1">
      <c r="A458" s="2">
        <v>1256.0</v>
      </c>
      <c r="B458" s="3" t="s">
        <v>8</v>
      </c>
      <c r="C458" s="3" t="s">
        <v>9</v>
      </c>
      <c r="D458" s="4" t="s">
        <v>14</v>
      </c>
      <c r="E458" s="4" t="s">
        <v>15</v>
      </c>
      <c r="F458" s="4" t="s">
        <v>16</v>
      </c>
      <c r="G458" s="5" t="s">
        <v>17</v>
      </c>
      <c r="H458" s="6">
        <v>0.0</v>
      </c>
    </row>
    <row r="459" spans="8:8" ht="23.85">
      <c r="A459" s="2">
        <v>1257.0</v>
      </c>
      <c r="B459" s="7" t="s">
        <v>8</v>
      </c>
      <c r="C459" s="7" t="s">
        <v>18</v>
      </c>
      <c r="D459" s="8" t="s">
        <v>196</v>
      </c>
      <c r="E459" s="8" t="s">
        <v>197</v>
      </c>
      <c r="F459" s="8" t="s">
        <v>69</v>
      </c>
      <c r="G459" s="9" t="s">
        <v>198</v>
      </c>
      <c r="H459" s="11">
        <v>2.0</v>
      </c>
    </row>
    <row r="460" spans="8:8" ht="35.05">
      <c r="A460" s="2">
        <v>1258.0</v>
      </c>
      <c r="B460" s="7" t="s">
        <v>8</v>
      </c>
      <c r="C460" s="12" t="s">
        <v>18</v>
      </c>
      <c r="D460" s="8" t="s">
        <v>199</v>
      </c>
      <c r="E460" s="8" t="s">
        <v>200</v>
      </c>
      <c r="F460" s="8" t="s">
        <v>201</v>
      </c>
      <c r="G460" s="9" t="s">
        <v>202</v>
      </c>
      <c r="H460" s="15">
        <v>5.0</v>
      </c>
    </row>
    <row r="461" spans="8:8" ht="23.85" hidden="1">
      <c r="A461" s="2">
        <v>1259.0</v>
      </c>
      <c r="B461" s="3" t="s">
        <v>8</v>
      </c>
      <c r="C461" s="3" t="s">
        <v>9</v>
      </c>
      <c r="D461" s="4" t="s">
        <v>14</v>
      </c>
      <c r="E461" s="4" t="s">
        <v>15</v>
      </c>
      <c r="F461" s="4" t="s">
        <v>16</v>
      </c>
      <c r="G461" s="5" t="s">
        <v>17</v>
      </c>
      <c r="H461" s="6">
        <v>0.0</v>
      </c>
    </row>
    <row r="462" spans="8:8" ht="23.85" hidden="1">
      <c r="A462" s="2">
        <v>1260.0</v>
      </c>
      <c r="B462" s="3" t="s">
        <v>8</v>
      </c>
      <c r="C462" s="3" t="s">
        <v>9</v>
      </c>
      <c r="D462" s="4" t="s">
        <v>14</v>
      </c>
      <c r="E462" s="4" t="s">
        <v>15</v>
      </c>
      <c r="F462" s="4" t="s">
        <v>16</v>
      </c>
      <c r="G462" s="5" t="s">
        <v>17</v>
      </c>
      <c r="H462" s="6">
        <v>0.0</v>
      </c>
    </row>
    <row r="463" spans="8:8" ht="23.85" hidden="1">
      <c r="A463" s="2">
        <v>1261.0</v>
      </c>
      <c r="B463" s="3" t="s">
        <v>8</v>
      </c>
      <c r="C463" s="3" t="s">
        <v>9</v>
      </c>
      <c r="D463" s="4" t="s">
        <v>14</v>
      </c>
      <c r="E463" s="4" t="s">
        <v>15</v>
      </c>
      <c r="F463" s="4" t="s">
        <v>16</v>
      </c>
      <c r="G463" s="5" t="s">
        <v>17</v>
      </c>
      <c r="H463" s="6">
        <v>0.0</v>
      </c>
    </row>
    <row r="464" spans="8:8" ht="23.85" hidden="1">
      <c r="A464" s="2">
        <v>1262.0</v>
      </c>
      <c r="B464" s="3" t="s">
        <v>8</v>
      </c>
      <c r="C464" s="3" t="s">
        <v>9</v>
      </c>
      <c r="D464" s="4" t="s">
        <v>203</v>
      </c>
      <c r="E464" s="4" t="s">
        <v>11</v>
      </c>
      <c r="F464" s="4" t="s">
        <v>204</v>
      </c>
      <c r="G464" s="5" t="s">
        <v>205</v>
      </c>
      <c r="H464" s="6">
        <v>0.0</v>
      </c>
    </row>
    <row r="465" spans="8:8" ht="23.85" hidden="1">
      <c r="A465" s="2">
        <v>1263.0</v>
      </c>
      <c r="B465" s="3" t="s">
        <v>8</v>
      </c>
      <c r="C465" s="3" t="s">
        <v>9</v>
      </c>
      <c r="D465" s="4" t="s">
        <v>14</v>
      </c>
      <c r="E465" s="4" t="s">
        <v>15</v>
      </c>
      <c r="F465" s="4" t="s">
        <v>16</v>
      </c>
      <c r="G465" s="5" t="s">
        <v>17</v>
      </c>
      <c r="H465" s="6">
        <v>0.0</v>
      </c>
    </row>
    <row r="466" spans="8:8" ht="15.0">
      <c r="A466" s="2">
        <v>1264.0</v>
      </c>
      <c r="B466" s="7" t="s">
        <v>8</v>
      </c>
      <c r="C466" s="7" t="s">
        <v>18</v>
      </c>
      <c r="D466" s="8" t="s">
        <v>206</v>
      </c>
      <c r="E466" s="8" t="s">
        <v>207</v>
      </c>
      <c r="F466" s="8" t="s">
        <v>69</v>
      </c>
      <c r="G466" s="9" t="s">
        <v>208</v>
      </c>
      <c r="H466" s="11">
        <v>2.0</v>
      </c>
    </row>
    <row r="467" spans="8:8" ht="23.85" hidden="1">
      <c r="A467" s="2">
        <v>1265.0</v>
      </c>
      <c r="B467" s="3" t="s">
        <v>8</v>
      </c>
      <c r="C467" s="3" t="s">
        <v>9</v>
      </c>
      <c r="D467" s="4" t="s">
        <v>14</v>
      </c>
      <c r="E467" s="4" t="s">
        <v>15</v>
      </c>
      <c r="F467" s="4" t="s">
        <v>16</v>
      </c>
      <c r="G467" s="5" t="s">
        <v>17</v>
      </c>
      <c r="H467" s="6">
        <v>0.0</v>
      </c>
    </row>
    <row r="468" spans="8:8" ht="23.85">
      <c r="A468" s="2">
        <v>1266.0</v>
      </c>
      <c r="B468" s="7" t="s">
        <v>8</v>
      </c>
      <c r="C468" s="7" t="s">
        <v>18</v>
      </c>
      <c r="D468" s="8" t="s">
        <v>209</v>
      </c>
      <c r="E468" s="8" t="s">
        <v>152</v>
      </c>
      <c r="F468" s="8" t="s">
        <v>210</v>
      </c>
      <c r="G468" s="9" t="s">
        <v>211</v>
      </c>
      <c r="H468" s="11">
        <v>2.0</v>
      </c>
    </row>
    <row r="469" spans="8:8" ht="23.85" hidden="1">
      <c r="A469" s="2">
        <v>1267.0</v>
      </c>
      <c r="B469" s="3" t="s">
        <v>8</v>
      </c>
      <c r="C469" s="3" t="s">
        <v>9</v>
      </c>
      <c r="D469" s="4" t="s">
        <v>14</v>
      </c>
      <c r="E469" s="4" t="s">
        <v>15</v>
      </c>
      <c r="F469" s="4" t="s">
        <v>16</v>
      </c>
      <c r="G469" s="5" t="s">
        <v>17</v>
      </c>
      <c r="H469" s="6">
        <v>0.0</v>
      </c>
    </row>
    <row r="470" spans="8:8" ht="23.85" hidden="1">
      <c r="A470" s="2">
        <v>1268.0</v>
      </c>
      <c r="B470" s="3" t="s">
        <v>8</v>
      </c>
      <c r="C470" s="3" t="s">
        <v>9</v>
      </c>
      <c r="D470" s="4" t="s">
        <v>14</v>
      </c>
      <c r="E470" s="4" t="s">
        <v>15</v>
      </c>
      <c r="F470" s="4" t="s">
        <v>16</v>
      </c>
      <c r="G470" s="5" t="s">
        <v>17</v>
      </c>
      <c r="H470" s="6">
        <v>0.0</v>
      </c>
    </row>
    <row r="471" spans="8:8" ht="23.85">
      <c r="A471" s="2">
        <v>1269.0</v>
      </c>
      <c r="B471" s="7" t="s">
        <v>8</v>
      </c>
      <c r="C471" s="7" t="s">
        <v>18</v>
      </c>
      <c r="D471" s="8" t="s">
        <v>212</v>
      </c>
      <c r="E471" s="8" t="s">
        <v>213</v>
      </c>
      <c r="F471" s="8" t="s">
        <v>214</v>
      </c>
      <c r="G471" s="9" t="s">
        <v>215</v>
      </c>
      <c r="H471" s="11">
        <v>2.0</v>
      </c>
    </row>
    <row r="472" spans="8:8" ht="23.85" hidden="1">
      <c r="A472" s="2">
        <v>1270.0</v>
      </c>
      <c r="B472" s="3" t="s">
        <v>8</v>
      </c>
      <c r="C472" s="3" t="s">
        <v>9</v>
      </c>
      <c r="D472" s="4" t="s">
        <v>14</v>
      </c>
      <c r="E472" s="4" t="s">
        <v>15</v>
      </c>
      <c r="F472" s="4" t="s">
        <v>16</v>
      </c>
      <c r="G472" s="5" t="s">
        <v>17</v>
      </c>
      <c r="H472" s="6">
        <v>0.0</v>
      </c>
    </row>
    <row r="473" spans="8:8" ht="23.85" hidden="1">
      <c r="A473" s="2">
        <v>1271.0</v>
      </c>
      <c r="B473" s="3" t="s">
        <v>8</v>
      </c>
      <c r="C473" s="3" t="s">
        <v>9</v>
      </c>
      <c r="D473" s="4" t="s">
        <v>14</v>
      </c>
      <c r="E473" s="4" t="s">
        <v>15</v>
      </c>
      <c r="F473" s="4" t="s">
        <v>16</v>
      </c>
      <c r="G473" s="5" t="s">
        <v>17</v>
      </c>
      <c r="H473" s="6">
        <v>0.0</v>
      </c>
    </row>
    <row r="474" spans="8:8" ht="23.85" hidden="1">
      <c r="A474" s="2">
        <v>1272.0</v>
      </c>
      <c r="B474" s="3" t="s">
        <v>8</v>
      </c>
      <c r="C474" s="3" t="s">
        <v>9</v>
      </c>
      <c r="D474" s="4" t="s">
        <v>14</v>
      </c>
      <c r="E474" s="4" t="s">
        <v>15</v>
      </c>
      <c r="F474" s="4" t="s">
        <v>16</v>
      </c>
      <c r="G474" s="5" t="s">
        <v>17</v>
      </c>
      <c r="H474" s="6">
        <v>0.0</v>
      </c>
    </row>
    <row r="475" spans="8:8" ht="23.85" hidden="1">
      <c r="A475" s="2">
        <v>1273.0</v>
      </c>
      <c r="B475" s="3" t="s">
        <v>8</v>
      </c>
      <c r="C475" s="3" t="s">
        <v>9</v>
      </c>
      <c r="D475" s="4" t="s">
        <v>14</v>
      </c>
      <c r="E475" s="4" t="s">
        <v>15</v>
      </c>
      <c r="F475" s="4" t="s">
        <v>16</v>
      </c>
      <c r="G475" s="5" t="s">
        <v>17</v>
      </c>
      <c r="H475" s="6">
        <v>0.0</v>
      </c>
    </row>
    <row r="476" spans="8:8" ht="15.0">
      <c r="A476" s="2">
        <v>1274.0</v>
      </c>
      <c r="B476" s="7" t="s">
        <v>8</v>
      </c>
      <c r="C476" s="7" t="s">
        <v>18</v>
      </c>
      <c r="D476" s="8" t="s">
        <v>216</v>
      </c>
      <c r="E476" s="8" t="s">
        <v>146</v>
      </c>
      <c r="F476" s="8" t="s">
        <v>94</v>
      </c>
      <c r="G476" s="9" t="s">
        <v>217</v>
      </c>
      <c r="H476" s="11">
        <v>2.0</v>
      </c>
    </row>
    <row r="477" spans="8:8" ht="23.85">
      <c r="A477" s="2">
        <v>1275.0</v>
      </c>
      <c r="B477" s="7" t="s">
        <v>8</v>
      </c>
      <c r="C477" s="7" t="s">
        <v>18</v>
      </c>
      <c r="D477" s="8" t="s">
        <v>218</v>
      </c>
      <c r="E477" s="8" t="s">
        <v>213</v>
      </c>
      <c r="F477" s="8" t="s">
        <v>69</v>
      </c>
      <c r="G477" s="9" t="s">
        <v>219</v>
      </c>
      <c r="H477" s="10">
        <v>3.0</v>
      </c>
    </row>
    <row r="478" spans="8:8" ht="23.85" hidden="1">
      <c r="A478" s="2">
        <v>1276.0</v>
      </c>
      <c r="B478" s="3" t="s">
        <v>8</v>
      </c>
      <c r="C478" s="3" t="s">
        <v>9</v>
      </c>
      <c r="D478" s="4" t="s">
        <v>14</v>
      </c>
      <c r="E478" s="4" t="s">
        <v>15</v>
      </c>
      <c r="F478" s="4" t="s">
        <v>16</v>
      </c>
      <c r="G478" s="5" t="s">
        <v>17</v>
      </c>
      <c r="H478" s="6">
        <v>0.0</v>
      </c>
    </row>
    <row r="479" spans="8:8" ht="23.85" hidden="1">
      <c r="A479" s="2">
        <v>1277.0</v>
      </c>
      <c r="B479" s="3" t="s">
        <v>8</v>
      </c>
      <c r="C479" s="3" t="s">
        <v>9</v>
      </c>
      <c r="D479" s="4" t="s">
        <v>14</v>
      </c>
      <c r="E479" s="4" t="s">
        <v>15</v>
      </c>
      <c r="F479" s="4" t="s">
        <v>16</v>
      </c>
      <c r="G479" s="5" t="s">
        <v>17</v>
      </c>
      <c r="H479" s="6">
        <v>0.0</v>
      </c>
    </row>
    <row r="480" spans="8:8" ht="23.85" hidden="1">
      <c r="A480" s="2">
        <v>1278.0</v>
      </c>
      <c r="B480" s="3" t="s">
        <v>8</v>
      </c>
      <c r="C480" s="3" t="s">
        <v>9</v>
      </c>
      <c r="D480" s="4" t="s">
        <v>14</v>
      </c>
      <c r="E480" s="4" t="s">
        <v>15</v>
      </c>
      <c r="F480" s="4" t="s">
        <v>16</v>
      </c>
      <c r="G480" s="5" t="s">
        <v>17</v>
      </c>
      <c r="H480" s="6">
        <v>0.0</v>
      </c>
    </row>
    <row r="481" spans="8:8" ht="23.85" hidden="1">
      <c r="A481" s="2">
        <v>1279.0</v>
      </c>
      <c r="B481" s="3" t="s">
        <v>8</v>
      </c>
      <c r="C481" s="3" t="s">
        <v>9</v>
      </c>
      <c r="D481" s="4" t="s">
        <v>14</v>
      </c>
      <c r="E481" s="4" t="s">
        <v>15</v>
      </c>
      <c r="F481" s="4" t="s">
        <v>16</v>
      </c>
      <c r="G481" s="5" t="s">
        <v>17</v>
      </c>
      <c r="H481" s="6">
        <v>0.0</v>
      </c>
    </row>
    <row r="482" spans="8:8" ht="23.85" hidden="1">
      <c r="A482" s="2">
        <v>1280.0</v>
      </c>
      <c r="B482" s="3" t="s">
        <v>8</v>
      </c>
      <c r="C482" s="3" t="s">
        <v>9</v>
      </c>
      <c r="D482" s="4" t="s">
        <v>14</v>
      </c>
      <c r="E482" s="4" t="s">
        <v>15</v>
      </c>
      <c r="F482" s="4" t="s">
        <v>16</v>
      </c>
      <c r="G482" s="5" t="s">
        <v>17</v>
      </c>
      <c r="H482" s="6">
        <v>0.0</v>
      </c>
    </row>
    <row r="483" spans="8:8" ht="23.85" hidden="1">
      <c r="A483" s="2">
        <v>1281.0</v>
      </c>
      <c r="B483" s="3" t="s">
        <v>8</v>
      </c>
      <c r="C483" s="3" t="s">
        <v>9</v>
      </c>
      <c r="D483" s="4" t="s">
        <v>14</v>
      </c>
      <c r="E483" s="4" t="s">
        <v>15</v>
      </c>
      <c r="F483" s="4" t="s">
        <v>16</v>
      </c>
      <c r="G483" s="5" t="s">
        <v>17</v>
      </c>
      <c r="H483" s="6">
        <v>0.0</v>
      </c>
    </row>
    <row r="484" spans="8:8" ht="23.85" hidden="1">
      <c r="A484" s="2">
        <v>1282.0</v>
      </c>
      <c r="B484" s="3" t="s">
        <v>8</v>
      </c>
      <c r="C484" s="3" t="s">
        <v>9</v>
      </c>
      <c r="D484" s="4" t="s">
        <v>14</v>
      </c>
      <c r="E484" s="4" t="s">
        <v>15</v>
      </c>
      <c r="F484" s="4" t="s">
        <v>16</v>
      </c>
      <c r="G484" s="5" t="s">
        <v>17</v>
      </c>
      <c r="H484" s="6">
        <v>0.0</v>
      </c>
    </row>
    <row r="485" spans="8:8" ht="23.85" hidden="1">
      <c r="A485" s="2">
        <v>1283.0</v>
      </c>
      <c r="B485" s="3" t="s">
        <v>8</v>
      </c>
      <c r="C485" s="3" t="s">
        <v>9</v>
      </c>
      <c r="D485" s="4" t="s">
        <v>14</v>
      </c>
      <c r="E485" s="4" t="s">
        <v>15</v>
      </c>
      <c r="F485" s="4" t="s">
        <v>16</v>
      </c>
      <c r="G485" s="5" t="s">
        <v>17</v>
      </c>
      <c r="H485" s="6">
        <v>0.0</v>
      </c>
    </row>
    <row r="486" spans="8:8" ht="23.85">
      <c r="A486" s="2">
        <v>1284.0</v>
      </c>
      <c r="B486" s="7" t="s">
        <v>8</v>
      </c>
      <c r="C486" s="7" t="s">
        <v>18</v>
      </c>
      <c r="D486" s="8" t="s">
        <v>220</v>
      </c>
      <c r="E486" s="8" t="s">
        <v>221</v>
      </c>
      <c r="F486" s="8" t="s">
        <v>222</v>
      </c>
      <c r="G486" s="9" t="s">
        <v>223</v>
      </c>
      <c r="H486" s="11">
        <v>2.0</v>
      </c>
    </row>
    <row r="487" spans="8:8" ht="23.85" hidden="1">
      <c r="A487" s="2">
        <v>1285.0</v>
      </c>
      <c r="B487" s="3" t="s">
        <v>8</v>
      </c>
      <c r="C487" s="3" t="s">
        <v>9</v>
      </c>
      <c r="D487" s="4" t="s">
        <v>14</v>
      </c>
      <c r="E487" s="4" t="s">
        <v>15</v>
      </c>
      <c r="F487" s="4" t="s">
        <v>16</v>
      </c>
      <c r="G487" s="5" t="s">
        <v>17</v>
      </c>
      <c r="H487" s="6">
        <v>0.0</v>
      </c>
    </row>
    <row r="488" spans="8:8" ht="23.85" hidden="1">
      <c r="A488" s="2">
        <v>1286.0</v>
      </c>
      <c r="B488" s="3" t="s">
        <v>8</v>
      </c>
      <c r="C488" s="3" t="s">
        <v>9</v>
      </c>
      <c r="D488" s="4" t="s">
        <v>14</v>
      </c>
      <c r="E488" s="4" t="s">
        <v>15</v>
      </c>
      <c r="F488" s="4" t="s">
        <v>16</v>
      </c>
      <c r="G488" s="5" t="s">
        <v>17</v>
      </c>
      <c r="H488" s="6">
        <v>0.0</v>
      </c>
    </row>
    <row r="489" spans="8:8" ht="23.85">
      <c r="A489" s="2">
        <v>1287.0</v>
      </c>
      <c r="B489" s="7" t="s">
        <v>8</v>
      </c>
      <c r="C489" s="7" t="s">
        <v>18</v>
      </c>
      <c r="D489" s="8" t="s">
        <v>224</v>
      </c>
      <c r="E489" s="8" t="s">
        <v>225</v>
      </c>
      <c r="F489" s="8" t="s">
        <v>21</v>
      </c>
      <c r="G489" s="9" t="s">
        <v>226</v>
      </c>
      <c r="H489" s="10">
        <v>3.0</v>
      </c>
    </row>
    <row r="490" spans="8:8" ht="23.85" hidden="1">
      <c r="A490" s="2">
        <v>1288.0</v>
      </c>
      <c r="B490" s="3" t="s">
        <v>8</v>
      </c>
      <c r="C490" s="3" t="s">
        <v>9</v>
      </c>
      <c r="D490" s="4" t="s">
        <v>14</v>
      </c>
      <c r="E490" s="4" t="s">
        <v>15</v>
      </c>
      <c r="F490" s="4" t="s">
        <v>16</v>
      </c>
      <c r="G490" s="5" t="s">
        <v>17</v>
      </c>
      <c r="H490" s="6">
        <v>0.0</v>
      </c>
    </row>
    <row r="491" spans="8:8" ht="23.85" hidden="1">
      <c r="A491" s="2">
        <v>1289.0</v>
      </c>
      <c r="B491" s="3" t="s">
        <v>8</v>
      </c>
      <c r="C491" s="3" t="s">
        <v>9</v>
      </c>
      <c r="D491" s="4" t="s">
        <v>14</v>
      </c>
      <c r="E491" s="4" t="s">
        <v>15</v>
      </c>
      <c r="F491" s="4" t="s">
        <v>16</v>
      </c>
      <c r="G491" s="5" t="s">
        <v>17</v>
      </c>
      <c r="H491" s="6">
        <v>0.0</v>
      </c>
    </row>
    <row r="492" spans="8:8" ht="35.05">
      <c r="A492" s="2">
        <v>1290.0</v>
      </c>
      <c r="B492" s="7" t="s">
        <v>8</v>
      </c>
      <c r="C492" s="12" t="s">
        <v>18</v>
      </c>
      <c r="D492" s="8" t="s">
        <v>227</v>
      </c>
      <c r="E492" s="8" t="s">
        <v>27</v>
      </c>
      <c r="F492" s="8" t="s">
        <v>69</v>
      </c>
      <c r="G492" s="9" t="s">
        <v>228</v>
      </c>
      <c r="H492" s="13">
        <v>4.0</v>
      </c>
    </row>
    <row r="493" spans="8:8" ht="23.85">
      <c r="A493" s="2">
        <v>1291.0</v>
      </c>
      <c r="B493" s="7" t="s">
        <v>8</v>
      </c>
      <c r="C493" s="7" t="s">
        <v>18</v>
      </c>
      <c r="D493" s="8" t="s">
        <v>229</v>
      </c>
      <c r="E493" s="8" t="s">
        <v>39</v>
      </c>
      <c r="F493" s="8" t="s">
        <v>230</v>
      </c>
      <c r="G493" s="9" t="s">
        <v>231</v>
      </c>
      <c r="H493" s="10">
        <v>3.0</v>
      </c>
    </row>
    <row r="494" spans="8:8" ht="23.85" hidden="1">
      <c r="A494" s="2">
        <v>1292.0</v>
      </c>
      <c r="B494" s="3" t="s">
        <v>8</v>
      </c>
      <c r="C494" s="3" t="s">
        <v>9</v>
      </c>
      <c r="D494" s="4" t="s">
        <v>14</v>
      </c>
      <c r="E494" s="4" t="s">
        <v>15</v>
      </c>
      <c r="F494" s="4" t="s">
        <v>16</v>
      </c>
      <c r="G494" s="5" t="s">
        <v>17</v>
      </c>
      <c r="H494" s="6">
        <v>0.0</v>
      </c>
    </row>
    <row r="495" spans="8:8" ht="23.85" hidden="1">
      <c r="A495" s="2">
        <v>1293.0</v>
      </c>
      <c r="B495" s="3" t="s">
        <v>8</v>
      </c>
      <c r="C495" s="3" t="s">
        <v>9</v>
      </c>
      <c r="D495" s="4" t="s">
        <v>14</v>
      </c>
      <c r="E495" s="4" t="s">
        <v>15</v>
      </c>
      <c r="F495" s="4" t="s">
        <v>16</v>
      </c>
      <c r="G495" s="5" t="s">
        <v>17</v>
      </c>
      <c r="H495" s="6">
        <v>0.0</v>
      </c>
    </row>
    <row r="496" spans="8:8" ht="46.25">
      <c r="A496" s="2">
        <v>1294.0</v>
      </c>
      <c r="B496" s="7" t="s">
        <v>8</v>
      </c>
      <c r="C496" s="12" t="s">
        <v>18</v>
      </c>
      <c r="D496" s="8" t="s">
        <v>232</v>
      </c>
      <c r="E496" s="8" t="s">
        <v>233</v>
      </c>
      <c r="F496" s="8" t="s">
        <v>234</v>
      </c>
      <c r="G496" s="9" t="s">
        <v>235</v>
      </c>
      <c r="H496" s="13">
        <v>4.0</v>
      </c>
    </row>
    <row r="497" spans="8:8" ht="23.85" hidden="1">
      <c r="A497" s="2">
        <v>1295.0</v>
      </c>
      <c r="B497" s="3" t="s">
        <v>8</v>
      </c>
      <c r="C497" s="3" t="s">
        <v>9</v>
      </c>
      <c r="D497" s="4" t="s">
        <v>14</v>
      </c>
      <c r="E497" s="4" t="s">
        <v>15</v>
      </c>
      <c r="F497" s="4" t="s">
        <v>16</v>
      </c>
      <c r="G497" s="5" t="s">
        <v>17</v>
      </c>
      <c r="H497" s="6">
        <v>0.0</v>
      </c>
    </row>
    <row r="498" spans="8:8" ht="23.85">
      <c r="A498" s="2">
        <v>1296.0</v>
      </c>
      <c r="B498" s="7" t="s">
        <v>8</v>
      </c>
      <c r="C498" s="7" t="s">
        <v>18</v>
      </c>
      <c r="D498" s="8" t="s">
        <v>236</v>
      </c>
      <c r="E498" s="8" t="s">
        <v>237</v>
      </c>
      <c r="F498" s="8" t="s">
        <v>238</v>
      </c>
      <c r="G498" s="9" t="s">
        <v>239</v>
      </c>
      <c r="H498" s="11">
        <v>2.0</v>
      </c>
    </row>
    <row r="499" spans="8:8" ht="35.05">
      <c r="A499" s="2">
        <v>1297.0</v>
      </c>
      <c r="B499" s="7" t="s">
        <v>8</v>
      </c>
      <c r="C499" s="7" t="s">
        <v>18</v>
      </c>
      <c r="D499" s="8" t="s">
        <v>240</v>
      </c>
      <c r="E499" s="8" t="s">
        <v>241</v>
      </c>
      <c r="F499" s="8" t="s">
        <v>242</v>
      </c>
      <c r="G499" s="9" t="s">
        <v>243</v>
      </c>
      <c r="H499" s="10">
        <v>3.0</v>
      </c>
    </row>
    <row r="500" spans="8:8" ht="35.05">
      <c r="A500" s="2">
        <v>1298.0</v>
      </c>
      <c r="B500" s="7" t="s">
        <v>8</v>
      </c>
      <c r="C500" s="12" t="s">
        <v>18</v>
      </c>
      <c r="D500" s="8" t="s">
        <v>244</v>
      </c>
      <c r="E500" s="8" t="s">
        <v>84</v>
      </c>
      <c r="F500" s="8" t="s">
        <v>245</v>
      </c>
      <c r="G500" s="9" t="s">
        <v>246</v>
      </c>
      <c r="H500" s="15">
        <v>5.0</v>
      </c>
    </row>
    <row r="501" spans="8:8" ht="23.85">
      <c r="A501" s="2">
        <v>1299.0</v>
      </c>
      <c r="B501" s="7" t="s">
        <v>8</v>
      </c>
      <c r="C501" s="7" t="s">
        <v>18</v>
      </c>
      <c r="D501" s="8" t="s">
        <v>247</v>
      </c>
      <c r="E501" s="8" t="s">
        <v>248</v>
      </c>
      <c r="F501" s="8" t="s">
        <v>249</v>
      </c>
      <c r="G501" s="9" t="s">
        <v>250</v>
      </c>
      <c r="H501" s="10">
        <v>3.0</v>
      </c>
    </row>
    <row r="502" spans="8:8" ht="23.85" hidden="1">
      <c r="A502" s="2">
        <v>1300.0</v>
      </c>
      <c r="B502" s="3" t="s">
        <v>251</v>
      </c>
      <c r="C502" s="3" t="s">
        <v>9</v>
      </c>
      <c r="D502" s="4" t="s">
        <v>14</v>
      </c>
      <c r="E502" s="4" t="s">
        <v>15</v>
      </c>
      <c r="F502" s="4" t="s">
        <v>16</v>
      </c>
      <c r="G502" s="5" t="s">
        <v>17</v>
      </c>
      <c r="H502" s="6">
        <v>0.0</v>
      </c>
    </row>
    <row r="503" spans="8:8" ht="23.85" hidden="1">
      <c r="A503" s="2">
        <v>1301.0</v>
      </c>
      <c r="B503" s="3" t="s">
        <v>251</v>
      </c>
      <c r="C503" s="3" t="s">
        <v>9</v>
      </c>
      <c r="D503" s="4" t="s">
        <v>14</v>
      </c>
      <c r="E503" s="4" t="s">
        <v>15</v>
      </c>
      <c r="F503" s="4" t="s">
        <v>16</v>
      </c>
      <c r="G503" s="5" t="s">
        <v>17</v>
      </c>
      <c r="H503" s="6">
        <v>0.0</v>
      </c>
    </row>
    <row r="504" spans="8:8" ht="23.85" hidden="1">
      <c r="A504" s="2">
        <v>1302.0</v>
      </c>
      <c r="B504" s="3" t="s">
        <v>251</v>
      </c>
      <c r="C504" s="3" t="s">
        <v>9</v>
      </c>
      <c r="D504" s="4" t="s">
        <v>14</v>
      </c>
      <c r="E504" s="4" t="s">
        <v>15</v>
      </c>
      <c r="F504" s="4" t="s">
        <v>16</v>
      </c>
      <c r="G504" s="5" t="s">
        <v>17</v>
      </c>
      <c r="H504" s="6">
        <v>0.0</v>
      </c>
    </row>
    <row r="505" spans="8:8" ht="23.85">
      <c r="A505" s="2">
        <v>1303.0</v>
      </c>
      <c r="B505" s="7" t="s">
        <v>251</v>
      </c>
      <c r="C505" s="7" t="s">
        <v>18</v>
      </c>
      <c r="D505" s="8" t="s">
        <v>252</v>
      </c>
      <c r="E505" s="8" t="s">
        <v>89</v>
      </c>
      <c r="F505" s="8" t="s">
        <v>214</v>
      </c>
      <c r="G505" s="9" t="s">
        <v>253</v>
      </c>
      <c r="H505" s="10">
        <v>3.0</v>
      </c>
    </row>
    <row r="506" spans="8:8" ht="23.85" hidden="1">
      <c r="A506" s="2">
        <v>1304.0</v>
      </c>
      <c r="B506" s="3" t="s">
        <v>251</v>
      </c>
      <c r="C506" s="3" t="s">
        <v>9</v>
      </c>
      <c r="D506" s="4" t="s">
        <v>14</v>
      </c>
      <c r="E506" s="4" t="s">
        <v>15</v>
      </c>
      <c r="F506" s="4" t="s">
        <v>16</v>
      </c>
      <c r="G506" s="5" t="s">
        <v>17</v>
      </c>
      <c r="H506" s="6">
        <v>0.0</v>
      </c>
    </row>
    <row r="507" spans="8:8" ht="23.85" hidden="1">
      <c r="A507" s="2">
        <v>1305.0</v>
      </c>
      <c r="B507" s="3" t="s">
        <v>251</v>
      </c>
      <c r="C507" s="3" t="s">
        <v>9</v>
      </c>
      <c r="D507" s="4" t="s">
        <v>14</v>
      </c>
      <c r="E507" s="4" t="s">
        <v>15</v>
      </c>
      <c r="F507" s="4" t="s">
        <v>16</v>
      </c>
      <c r="G507" s="5" t="s">
        <v>17</v>
      </c>
      <c r="H507" s="6">
        <v>0.0</v>
      </c>
    </row>
    <row r="508" spans="8:8" ht="23.85">
      <c r="A508" s="2">
        <v>1306.0</v>
      </c>
      <c r="B508" s="7" t="s">
        <v>251</v>
      </c>
      <c r="C508" s="7" t="s">
        <v>18</v>
      </c>
      <c r="D508" s="8" t="s">
        <v>254</v>
      </c>
      <c r="E508" s="8" t="s">
        <v>27</v>
      </c>
      <c r="F508" s="8" t="s">
        <v>214</v>
      </c>
      <c r="G508" s="9" t="s">
        <v>255</v>
      </c>
      <c r="H508" s="10">
        <v>3.0</v>
      </c>
    </row>
    <row r="509" spans="8:8" ht="23.85">
      <c r="A509" s="2">
        <v>1307.0</v>
      </c>
      <c r="B509" s="7" t="s">
        <v>251</v>
      </c>
      <c r="C509" s="12" t="s">
        <v>18</v>
      </c>
      <c r="D509" s="8" t="s">
        <v>256</v>
      </c>
      <c r="E509" s="8" t="s">
        <v>27</v>
      </c>
      <c r="F509" s="8" t="s">
        <v>257</v>
      </c>
      <c r="G509" s="9" t="s">
        <v>258</v>
      </c>
      <c r="H509" s="13">
        <v>4.0</v>
      </c>
    </row>
    <row r="510" spans="8:8" ht="23.85" hidden="1">
      <c r="A510" s="2">
        <v>1308.0</v>
      </c>
      <c r="B510" s="3" t="s">
        <v>251</v>
      </c>
      <c r="C510" s="3" t="s">
        <v>9</v>
      </c>
      <c r="D510" s="4" t="s">
        <v>14</v>
      </c>
      <c r="E510" s="4" t="s">
        <v>15</v>
      </c>
      <c r="F510" s="4" t="s">
        <v>16</v>
      </c>
      <c r="G510" s="5" t="s">
        <v>17</v>
      </c>
      <c r="H510" s="6">
        <v>0.0</v>
      </c>
    </row>
    <row r="511" spans="8:8" ht="23.85" hidden="1">
      <c r="A511" s="2">
        <v>1309.0</v>
      </c>
      <c r="B511" s="3" t="s">
        <v>251</v>
      </c>
      <c r="C511" s="3" t="s">
        <v>9</v>
      </c>
      <c r="D511" s="4" t="s">
        <v>14</v>
      </c>
      <c r="E511" s="4" t="s">
        <v>15</v>
      </c>
      <c r="F511" s="4" t="s">
        <v>16</v>
      </c>
      <c r="G511" s="5" t="s">
        <v>17</v>
      </c>
      <c r="H511" s="6">
        <v>0.0</v>
      </c>
    </row>
    <row r="512" spans="8:8" ht="23.85" hidden="1">
      <c r="A512" s="2">
        <v>1310.0</v>
      </c>
      <c r="B512" s="3" t="s">
        <v>251</v>
      </c>
      <c r="C512" s="3" t="s">
        <v>9</v>
      </c>
      <c r="D512" s="4" t="s">
        <v>14</v>
      </c>
      <c r="E512" s="4" t="s">
        <v>15</v>
      </c>
      <c r="F512" s="4" t="s">
        <v>16</v>
      </c>
      <c r="G512" s="5" t="s">
        <v>17</v>
      </c>
      <c r="H512" s="6">
        <v>0.0</v>
      </c>
    </row>
    <row r="513" spans="8:8" ht="23.85" hidden="1">
      <c r="A513" s="2">
        <v>1311.0</v>
      </c>
      <c r="B513" s="3" t="s">
        <v>251</v>
      </c>
      <c r="C513" s="3" t="s">
        <v>9</v>
      </c>
      <c r="D513" s="4" t="s">
        <v>14</v>
      </c>
      <c r="E513" s="4" t="s">
        <v>15</v>
      </c>
      <c r="F513" s="4" t="s">
        <v>16</v>
      </c>
      <c r="G513" s="5" t="s">
        <v>17</v>
      </c>
      <c r="H513" s="6">
        <v>0.0</v>
      </c>
    </row>
    <row r="514" spans="8:8" ht="23.85">
      <c r="A514" s="2">
        <v>1312.0</v>
      </c>
      <c r="B514" s="7" t="s">
        <v>251</v>
      </c>
      <c r="C514" s="7" t="s">
        <v>18</v>
      </c>
      <c r="D514" s="8" t="s">
        <v>259</v>
      </c>
      <c r="E514" s="8" t="s">
        <v>27</v>
      </c>
      <c r="F514" s="8" t="s">
        <v>94</v>
      </c>
      <c r="G514" s="9" t="s">
        <v>260</v>
      </c>
      <c r="H514" s="11">
        <v>2.0</v>
      </c>
    </row>
    <row r="515" spans="8:8" ht="23.85" hidden="1">
      <c r="A515" s="2">
        <v>1313.0</v>
      </c>
      <c r="B515" s="3" t="s">
        <v>251</v>
      </c>
      <c r="C515" s="3" t="s">
        <v>9</v>
      </c>
      <c r="D515" s="4" t="s">
        <v>14</v>
      </c>
      <c r="E515" s="4" t="s">
        <v>15</v>
      </c>
      <c r="F515" s="4" t="s">
        <v>16</v>
      </c>
      <c r="G515" s="5" t="s">
        <v>17</v>
      </c>
      <c r="H515" s="6">
        <v>0.0</v>
      </c>
    </row>
    <row r="516" spans="8:8" ht="23.85" hidden="1">
      <c r="A516" s="2">
        <v>1314.0</v>
      </c>
      <c r="B516" s="3" t="s">
        <v>251</v>
      </c>
      <c r="C516" s="3" t="s">
        <v>9</v>
      </c>
      <c r="D516" s="4" t="s">
        <v>14</v>
      </c>
      <c r="E516" s="4" t="s">
        <v>15</v>
      </c>
      <c r="F516" s="4" t="s">
        <v>16</v>
      </c>
      <c r="G516" s="5" t="s">
        <v>17</v>
      </c>
      <c r="H516" s="6">
        <v>0.0</v>
      </c>
    </row>
    <row r="517" spans="8:8" ht="23.85">
      <c r="A517" s="2">
        <v>1315.0</v>
      </c>
      <c r="B517" s="7" t="s">
        <v>251</v>
      </c>
      <c r="C517" s="7" t="s">
        <v>18</v>
      </c>
      <c r="D517" s="8" t="s">
        <v>261</v>
      </c>
      <c r="E517" s="8" t="s">
        <v>262</v>
      </c>
      <c r="F517" s="8" t="s">
        <v>263</v>
      </c>
      <c r="G517" s="9" t="s">
        <v>264</v>
      </c>
      <c r="H517" s="10">
        <v>3.0</v>
      </c>
    </row>
    <row r="518" spans="8:8" ht="15.0">
      <c r="A518" s="2">
        <v>1316.0</v>
      </c>
      <c r="B518" s="7" t="s">
        <v>251</v>
      </c>
      <c r="C518" s="7" t="s">
        <v>18</v>
      </c>
      <c r="D518" s="8" t="s">
        <v>265</v>
      </c>
      <c r="E518" s="8" t="s">
        <v>93</v>
      </c>
      <c r="F518" s="8" t="s">
        <v>263</v>
      </c>
      <c r="G518" s="9" t="s">
        <v>266</v>
      </c>
      <c r="H518" s="10">
        <v>3.0</v>
      </c>
    </row>
    <row r="519" spans="8:8" ht="15.0">
      <c r="A519" s="2">
        <v>1317.0</v>
      </c>
      <c r="B519" s="7" t="s">
        <v>251</v>
      </c>
      <c r="C519" s="7" t="s">
        <v>18</v>
      </c>
      <c r="D519" s="8" t="s">
        <v>267</v>
      </c>
      <c r="E519" s="8" t="s">
        <v>268</v>
      </c>
      <c r="F519" s="8" t="s">
        <v>263</v>
      </c>
      <c r="G519" s="9" t="s">
        <v>269</v>
      </c>
      <c r="H519" s="11">
        <v>2.0</v>
      </c>
    </row>
    <row r="520" spans="8:8" ht="23.85" hidden="1">
      <c r="A520" s="2">
        <v>1318.0</v>
      </c>
      <c r="B520" s="3" t="s">
        <v>251</v>
      </c>
      <c r="C520" s="3" t="s">
        <v>9</v>
      </c>
      <c r="D520" s="4" t="s">
        <v>14</v>
      </c>
      <c r="E520" s="4" t="s">
        <v>15</v>
      </c>
      <c r="F520" s="4" t="s">
        <v>16</v>
      </c>
      <c r="G520" s="5" t="s">
        <v>17</v>
      </c>
      <c r="H520" s="6">
        <v>0.0</v>
      </c>
    </row>
    <row r="521" spans="8:8" ht="23.85" hidden="1">
      <c r="A521" s="2">
        <v>1319.0</v>
      </c>
      <c r="B521" s="3" t="s">
        <v>251</v>
      </c>
      <c r="C521" s="3" t="s">
        <v>9</v>
      </c>
      <c r="D521" s="4" t="s">
        <v>14</v>
      </c>
      <c r="E521" s="4" t="s">
        <v>15</v>
      </c>
      <c r="F521" s="4" t="s">
        <v>16</v>
      </c>
      <c r="G521" s="5" t="s">
        <v>17</v>
      </c>
      <c r="H521" s="6">
        <v>0.0</v>
      </c>
    </row>
    <row r="522" spans="8:8" ht="23.85" hidden="1">
      <c r="A522" s="2">
        <v>1320.0</v>
      </c>
      <c r="B522" s="3" t="s">
        <v>251</v>
      </c>
      <c r="C522" s="3" t="s">
        <v>9</v>
      </c>
      <c r="D522" s="4" t="s">
        <v>14</v>
      </c>
      <c r="E522" s="4" t="s">
        <v>15</v>
      </c>
      <c r="F522" s="4" t="s">
        <v>16</v>
      </c>
      <c r="G522" s="5" t="s">
        <v>17</v>
      </c>
      <c r="H522" s="6">
        <v>0.0</v>
      </c>
    </row>
    <row r="523" spans="8:8" ht="23.85" hidden="1">
      <c r="A523" s="2">
        <v>1321.0</v>
      </c>
      <c r="B523" s="3" t="s">
        <v>251</v>
      </c>
      <c r="C523" s="3" t="s">
        <v>9</v>
      </c>
      <c r="D523" s="4" t="s">
        <v>14</v>
      </c>
      <c r="E523" s="4" t="s">
        <v>15</v>
      </c>
      <c r="F523" s="4" t="s">
        <v>16</v>
      </c>
      <c r="G523" s="5" t="s">
        <v>17</v>
      </c>
      <c r="H523" s="6">
        <v>0.0</v>
      </c>
    </row>
    <row r="524" spans="8:8" ht="23.85" hidden="1">
      <c r="A524" s="2">
        <v>1322.0</v>
      </c>
      <c r="B524" s="3" t="s">
        <v>251</v>
      </c>
      <c r="C524" s="3" t="s">
        <v>9</v>
      </c>
      <c r="D524" s="4" t="s">
        <v>14</v>
      </c>
      <c r="E524" s="4" t="s">
        <v>15</v>
      </c>
      <c r="F524" s="4" t="s">
        <v>16</v>
      </c>
      <c r="G524" s="5" t="s">
        <v>17</v>
      </c>
      <c r="H524" s="6">
        <v>0.0</v>
      </c>
    </row>
    <row r="525" spans="8:8" ht="23.85" hidden="1">
      <c r="A525" s="2">
        <v>1323.0</v>
      </c>
      <c r="B525" s="3" t="s">
        <v>251</v>
      </c>
      <c r="C525" s="3" t="s">
        <v>9</v>
      </c>
      <c r="D525" s="4" t="s">
        <v>14</v>
      </c>
      <c r="E525" s="4" t="s">
        <v>15</v>
      </c>
      <c r="F525" s="4" t="s">
        <v>16</v>
      </c>
      <c r="G525" s="5" t="s">
        <v>17</v>
      </c>
      <c r="H525" s="6">
        <v>0.0</v>
      </c>
    </row>
    <row r="526" spans="8:8" ht="23.85" hidden="1">
      <c r="A526" s="2">
        <v>1324.0</v>
      </c>
      <c r="B526" s="3" t="s">
        <v>251</v>
      </c>
      <c r="C526" s="3" t="s">
        <v>9</v>
      </c>
      <c r="D526" s="4" t="s">
        <v>14</v>
      </c>
      <c r="E526" s="4" t="s">
        <v>15</v>
      </c>
      <c r="F526" s="4" t="s">
        <v>16</v>
      </c>
      <c r="G526" s="5" t="s">
        <v>17</v>
      </c>
      <c r="H526" s="6">
        <v>0.0</v>
      </c>
    </row>
    <row r="527" spans="8:8" ht="23.85" hidden="1">
      <c r="A527" s="2">
        <v>1325.0</v>
      </c>
      <c r="B527" s="3" t="s">
        <v>251</v>
      </c>
      <c r="C527" s="3" t="s">
        <v>9</v>
      </c>
      <c r="D527" s="4" t="s">
        <v>14</v>
      </c>
      <c r="E527" s="4" t="s">
        <v>15</v>
      </c>
      <c r="F527" s="4" t="s">
        <v>16</v>
      </c>
      <c r="G527" s="5" t="s">
        <v>17</v>
      </c>
      <c r="H527" s="6">
        <v>0.0</v>
      </c>
    </row>
    <row r="528" spans="8:8" ht="23.85">
      <c r="A528" s="2">
        <v>1326.0</v>
      </c>
      <c r="B528" s="7" t="s">
        <v>251</v>
      </c>
      <c r="C528" s="7" t="s">
        <v>18</v>
      </c>
      <c r="D528" s="8" t="s">
        <v>270</v>
      </c>
      <c r="E528" s="8" t="s">
        <v>84</v>
      </c>
      <c r="F528" s="8" t="s">
        <v>271</v>
      </c>
      <c r="G528" s="9" t="s">
        <v>272</v>
      </c>
      <c r="H528" s="10">
        <v>3.0</v>
      </c>
    </row>
    <row r="529" spans="8:8" ht="23.85" hidden="1">
      <c r="A529" s="2">
        <v>1327.0</v>
      </c>
      <c r="B529" s="3" t="s">
        <v>251</v>
      </c>
      <c r="C529" s="3" t="s">
        <v>9</v>
      </c>
      <c r="D529" s="4" t="s">
        <v>14</v>
      </c>
      <c r="E529" s="4" t="s">
        <v>15</v>
      </c>
      <c r="F529" s="4" t="s">
        <v>16</v>
      </c>
      <c r="G529" s="5" t="s">
        <v>17</v>
      </c>
      <c r="H529" s="6">
        <v>0.0</v>
      </c>
    </row>
    <row r="530" spans="8:8" ht="23.85" hidden="1">
      <c r="A530" s="2">
        <v>1328.0</v>
      </c>
      <c r="B530" s="3" t="s">
        <v>251</v>
      </c>
      <c r="C530" s="3" t="s">
        <v>9</v>
      </c>
      <c r="D530" s="4" t="s">
        <v>14</v>
      </c>
      <c r="E530" s="4" t="s">
        <v>15</v>
      </c>
      <c r="F530" s="4" t="s">
        <v>16</v>
      </c>
      <c r="G530" s="5" t="s">
        <v>17</v>
      </c>
      <c r="H530" s="6">
        <v>0.0</v>
      </c>
    </row>
    <row r="531" spans="8:8" ht="23.85" hidden="1">
      <c r="A531" s="2">
        <v>1329.0</v>
      </c>
      <c r="B531" s="3" t="s">
        <v>251</v>
      </c>
      <c r="C531" s="3" t="s">
        <v>9</v>
      </c>
      <c r="D531" s="4" t="s">
        <v>14</v>
      </c>
      <c r="E531" s="4" t="s">
        <v>15</v>
      </c>
      <c r="F531" s="4" t="s">
        <v>16</v>
      </c>
      <c r="G531" s="5" t="s">
        <v>17</v>
      </c>
      <c r="H531" s="6">
        <v>0.0</v>
      </c>
    </row>
    <row r="532" spans="8:8" ht="23.85">
      <c r="A532" s="2">
        <v>1330.0</v>
      </c>
      <c r="B532" s="7" t="s">
        <v>251</v>
      </c>
      <c r="C532" s="7" t="s">
        <v>18</v>
      </c>
      <c r="D532" s="8" t="s">
        <v>273</v>
      </c>
      <c r="E532" s="8" t="s">
        <v>274</v>
      </c>
      <c r="F532" s="8" t="s">
        <v>238</v>
      </c>
      <c r="G532" s="9" t="s">
        <v>275</v>
      </c>
      <c r="H532" s="10">
        <v>3.0</v>
      </c>
    </row>
    <row r="533" spans="8:8" ht="23.85">
      <c r="A533" s="2">
        <v>1331.0</v>
      </c>
      <c r="B533" s="7" t="s">
        <v>251</v>
      </c>
      <c r="C533" s="12" t="s">
        <v>18</v>
      </c>
      <c r="D533" s="8" t="s">
        <v>276</v>
      </c>
      <c r="E533" s="8" t="s">
        <v>277</v>
      </c>
      <c r="F533" s="8" t="s">
        <v>238</v>
      </c>
      <c r="G533" s="9" t="s">
        <v>278</v>
      </c>
      <c r="H533" s="13">
        <v>4.0</v>
      </c>
    </row>
    <row r="534" spans="8:8" ht="23.85">
      <c r="A534" s="2">
        <v>1332.0</v>
      </c>
      <c r="B534" s="7" t="s">
        <v>251</v>
      </c>
      <c r="C534" s="12" t="s">
        <v>18</v>
      </c>
      <c r="D534" s="8" t="s">
        <v>279</v>
      </c>
      <c r="E534" s="8" t="s">
        <v>116</v>
      </c>
      <c r="F534" s="8" t="s">
        <v>238</v>
      </c>
      <c r="G534" s="9" t="s">
        <v>280</v>
      </c>
      <c r="H534" s="13">
        <v>4.0</v>
      </c>
    </row>
    <row r="535" spans="8:8" ht="23.85" hidden="1">
      <c r="A535" s="2">
        <v>1333.0</v>
      </c>
      <c r="B535" s="3" t="s">
        <v>251</v>
      </c>
      <c r="C535" s="3" t="s">
        <v>9</v>
      </c>
      <c r="D535" s="4" t="s">
        <v>14</v>
      </c>
      <c r="E535" s="4" t="s">
        <v>15</v>
      </c>
      <c r="F535" s="4" t="s">
        <v>16</v>
      </c>
      <c r="G535" s="5" t="s">
        <v>17</v>
      </c>
      <c r="H535" s="6">
        <v>0.0</v>
      </c>
    </row>
    <row r="536" spans="8:8" ht="23.85" hidden="1">
      <c r="A536" s="2">
        <v>1334.0</v>
      </c>
      <c r="B536" s="3" t="s">
        <v>251</v>
      </c>
      <c r="C536" s="3" t="s">
        <v>9</v>
      </c>
      <c r="D536" s="4" t="s">
        <v>14</v>
      </c>
      <c r="E536" s="4" t="s">
        <v>15</v>
      </c>
      <c r="F536" s="4" t="s">
        <v>16</v>
      </c>
      <c r="G536" s="5" t="s">
        <v>17</v>
      </c>
      <c r="H536" s="6">
        <v>0.0</v>
      </c>
    </row>
    <row r="537" spans="8:8" ht="23.85" hidden="1">
      <c r="A537" s="2">
        <v>1335.0</v>
      </c>
      <c r="B537" s="3" t="s">
        <v>251</v>
      </c>
      <c r="C537" s="3" t="s">
        <v>9</v>
      </c>
      <c r="D537" s="4" t="s">
        <v>14</v>
      </c>
      <c r="E537" s="4" t="s">
        <v>15</v>
      </c>
      <c r="F537" s="4" t="s">
        <v>16</v>
      </c>
      <c r="G537" s="5" t="s">
        <v>17</v>
      </c>
      <c r="H537" s="6">
        <v>0.0</v>
      </c>
    </row>
    <row r="538" spans="8:8" ht="23.85" hidden="1">
      <c r="A538" s="2">
        <v>1336.0</v>
      </c>
      <c r="B538" s="3" t="s">
        <v>251</v>
      </c>
      <c r="C538" s="3" t="s">
        <v>9</v>
      </c>
      <c r="D538" s="4" t="s">
        <v>14</v>
      </c>
      <c r="E538" s="4" t="s">
        <v>15</v>
      </c>
      <c r="F538" s="4" t="s">
        <v>16</v>
      </c>
      <c r="G538" s="5" t="s">
        <v>17</v>
      </c>
      <c r="H538" s="6">
        <v>0.0</v>
      </c>
    </row>
    <row r="539" spans="8:8" ht="23.85" hidden="1">
      <c r="A539" s="2">
        <v>1337.0</v>
      </c>
      <c r="B539" s="3" t="s">
        <v>251</v>
      </c>
      <c r="C539" s="3" t="s">
        <v>9</v>
      </c>
      <c r="D539" s="4" t="s">
        <v>14</v>
      </c>
      <c r="E539" s="4" t="s">
        <v>15</v>
      </c>
      <c r="F539" s="4" t="s">
        <v>16</v>
      </c>
      <c r="G539" s="5" t="s">
        <v>17</v>
      </c>
      <c r="H539" s="6">
        <v>0.0</v>
      </c>
    </row>
    <row r="540" spans="8:8" ht="23.85" hidden="1">
      <c r="A540" s="2">
        <v>1338.0</v>
      </c>
      <c r="B540" s="3" t="s">
        <v>251</v>
      </c>
      <c r="C540" s="3" t="s">
        <v>9</v>
      </c>
      <c r="D540" s="4" t="s">
        <v>14</v>
      </c>
      <c r="E540" s="4" t="s">
        <v>15</v>
      </c>
      <c r="F540" s="4" t="s">
        <v>16</v>
      </c>
      <c r="G540" s="5" t="s">
        <v>17</v>
      </c>
      <c r="H540" s="6">
        <v>0.0</v>
      </c>
    </row>
    <row r="541" spans="8:8" ht="23.85">
      <c r="A541" s="2">
        <v>1339.0</v>
      </c>
      <c r="B541" s="7" t="s">
        <v>251</v>
      </c>
      <c r="C541" s="7" t="s">
        <v>18</v>
      </c>
      <c r="D541" s="8" t="s">
        <v>281</v>
      </c>
      <c r="E541" s="8" t="s">
        <v>60</v>
      </c>
      <c r="F541" s="8" t="s">
        <v>282</v>
      </c>
      <c r="G541" s="9" t="s">
        <v>283</v>
      </c>
      <c r="H541" s="10">
        <v>3.0</v>
      </c>
    </row>
    <row r="542" spans="8:8" ht="23.85" hidden="1">
      <c r="A542" s="2">
        <v>1340.0</v>
      </c>
      <c r="B542" s="3" t="s">
        <v>251</v>
      </c>
      <c r="C542" s="3" t="s">
        <v>9</v>
      </c>
      <c r="D542" s="4" t="s">
        <v>14</v>
      </c>
      <c r="E542" s="4" t="s">
        <v>15</v>
      </c>
      <c r="F542" s="4" t="s">
        <v>16</v>
      </c>
      <c r="G542" s="5" t="s">
        <v>17</v>
      </c>
      <c r="H542" s="6">
        <v>0.0</v>
      </c>
    </row>
    <row r="543" spans="8:8" ht="15.0">
      <c r="A543" s="2">
        <v>1341.0</v>
      </c>
      <c r="B543" s="7" t="s">
        <v>251</v>
      </c>
      <c r="C543" s="7" t="s">
        <v>18</v>
      </c>
      <c r="D543" s="8" t="s">
        <v>284</v>
      </c>
      <c r="E543" s="8" t="s">
        <v>285</v>
      </c>
      <c r="F543" s="8" t="s">
        <v>271</v>
      </c>
      <c r="G543" s="9" t="s">
        <v>286</v>
      </c>
      <c r="H543" s="10">
        <v>3.0</v>
      </c>
    </row>
    <row r="544" spans="8:8" ht="15.0">
      <c r="A544" s="2">
        <v>1342.0</v>
      </c>
      <c r="B544" s="7" t="s">
        <v>251</v>
      </c>
      <c r="C544" s="12" t="s">
        <v>18</v>
      </c>
      <c r="D544" s="8" t="s">
        <v>287</v>
      </c>
      <c r="E544" s="8" t="s">
        <v>285</v>
      </c>
      <c r="F544" s="8" t="s">
        <v>271</v>
      </c>
      <c r="G544" s="9" t="s">
        <v>288</v>
      </c>
      <c r="H544" s="13">
        <v>4.0</v>
      </c>
    </row>
    <row r="545" spans="8:8" ht="23.85">
      <c r="A545" s="2">
        <v>1343.0</v>
      </c>
      <c r="B545" s="7" t="s">
        <v>251</v>
      </c>
      <c r="C545" s="12" t="s">
        <v>18</v>
      </c>
      <c r="D545" s="8" t="s">
        <v>289</v>
      </c>
      <c r="E545" s="8" t="s">
        <v>84</v>
      </c>
      <c r="F545" s="8" t="s">
        <v>290</v>
      </c>
      <c r="G545" s="9" t="s">
        <v>291</v>
      </c>
      <c r="H545" s="13">
        <v>4.0</v>
      </c>
    </row>
    <row r="546" spans="8:8" ht="23.85" hidden="1">
      <c r="A546" s="2">
        <v>1344.0</v>
      </c>
      <c r="B546" s="3" t="s">
        <v>251</v>
      </c>
      <c r="C546" s="3" t="s">
        <v>9</v>
      </c>
      <c r="D546" s="4" t="s">
        <v>14</v>
      </c>
      <c r="E546" s="4" t="s">
        <v>15</v>
      </c>
      <c r="F546" s="4" t="s">
        <v>16</v>
      </c>
      <c r="G546" s="5" t="s">
        <v>17</v>
      </c>
      <c r="H546" s="6">
        <v>0.0</v>
      </c>
    </row>
    <row r="547" spans="8:8" ht="15.0">
      <c r="A547" s="2">
        <v>1345.0</v>
      </c>
      <c r="B547" s="7" t="s">
        <v>251</v>
      </c>
      <c r="C547" s="12" t="s">
        <v>18</v>
      </c>
      <c r="D547" s="8" t="s">
        <v>292</v>
      </c>
      <c r="E547" s="8" t="s">
        <v>285</v>
      </c>
      <c r="F547" s="8" t="s">
        <v>271</v>
      </c>
      <c r="G547" s="9" t="s">
        <v>293</v>
      </c>
      <c r="H547" s="13">
        <v>4.0</v>
      </c>
    </row>
    <row r="548" spans="8:8" ht="35.05">
      <c r="A548" s="2">
        <v>1346.0</v>
      </c>
      <c r="B548" s="7" t="s">
        <v>251</v>
      </c>
      <c r="C548" s="12" t="s">
        <v>18</v>
      </c>
      <c r="D548" s="8" t="s">
        <v>294</v>
      </c>
      <c r="E548" s="8" t="s">
        <v>84</v>
      </c>
      <c r="F548" s="8" t="s">
        <v>290</v>
      </c>
      <c r="G548" s="9" t="s">
        <v>295</v>
      </c>
      <c r="H548" s="15">
        <v>5.0</v>
      </c>
    </row>
    <row r="549" spans="8:8" ht="23.85" hidden="1">
      <c r="A549" s="2">
        <v>1347.0</v>
      </c>
      <c r="B549" s="3" t="s">
        <v>251</v>
      </c>
      <c r="C549" s="3" t="s">
        <v>9</v>
      </c>
      <c r="D549" s="4" t="s">
        <v>14</v>
      </c>
      <c r="E549" s="4" t="s">
        <v>15</v>
      </c>
      <c r="F549" s="4" t="s">
        <v>16</v>
      </c>
      <c r="G549" s="5" t="s">
        <v>17</v>
      </c>
      <c r="H549" s="6">
        <v>0.0</v>
      </c>
    </row>
    <row r="550" spans="8:8" ht="23.85">
      <c r="A550" s="2">
        <v>1348.0</v>
      </c>
      <c r="B550" s="7" t="s">
        <v>251</v>
      </c>
      <c r="C550" s="12" t="s">
        <v>18</v>
      </c>
      <c r="D550" s="8" t="s">
        <v>296</v>
      </c>
      <c r="E550" s="8" t="s">
        <v>39</v>
      </c>
      <c r="F550" s="8" t="s">
        <v>297</v>
      </c>
      <c r="G550" s="9" t="s">
        <v>298</v>
      </c>
      <c r="H550" s="15">
        <v>5.0</v>
      </c>
    </row>
    <row r="551" spans="8:8" ht="15.0">
      <c r="A551" s="2">
        <v>1349.0</v>
      </c>
      <c r="B551" s="7" t="s">
        <v>251</v>
      </c>
      <c r="C551" s="12" t="s">
        <v>18</v>
      </c>
      <c r="D551" s="8" t="s">
        <v>299</v>
      </c>
      <c r="E551" s="8" t="s">
        <v>39</v>
      </c>
      <c r="F551" s="8" t="s">
        <v>94</v>
      </c>
      <c r="G551" s="9" t="s">
        <v>300</v>
      </c>
      <c r="H551" s="13">
        <v>4.0</v>
      </c>
    </row>
    <row r="552" spans="8:8" ht="23.85">
      <c r="A552" s="2">
        <v>1350.0</v>
      </c>
      <c r="B552" s="7" t="s">
        <v>251</v>
      </c>
      <c r="C552" s="7" t="s">
        <v>18</v>
      </c>
      <c r="D552" s="8" t="s">
        <v>301</v>
      </c>
      <c r="E552" s="8" t="s">
        <v>302</v>
      </c>
      <c r="F552" s="8" t="s">
        <v>94</v>
      </c>
      <c r="G552" s="9" t="s">
        <v>303</v>
      </c>
      <c r="H552" s="10">
        <v>3.0</v>
      </c>
    </row>
    <row r="553" spans="8:8" ht="23.85" hidden="1">
      <c r="A553" s="2">
        <v>1351.0</v>
      </c>
      <c r="B553" s="3" t="s">
        <v>251</v>
      </c>
      <c r="C553" s="3" t="s">
        <v>9</v>
      </c>
      <c r="D553" s="4" t="s">
        <v>14</v>
      </c>
      <c r="E553" s="4" t="s">
        <v>15</v>
      </c>
      <c r="F553" s="4" t="s">
        <v>16</v>
      </c>
      <c r="G553" s="5" t="s">
        <v>17</v>
      </c>
      <c r="H553" s="6">
        <v>0.0</v>
      </c>
    </row>
    <row r="554" spans="8:8" ht="23.85" hidden="1">
      <c r="A554" s="2">
        <v>1352.0</v>
      </c>
      <c r="B554" s="3" t="s">
        <v>251</v>
      </c>
      <c r="C554" s="3" t="s">
        <v>9</v>
      </c>
      <c r="D554" s="4" t="s">
        <v>14</v>
      </c>
      <c r="E554" s="4" t="s">
        <v>15</v>
      </c>
      <c r="F554" s="4" t="s">
        <v>16</v>
      </c>
      <c r="G554" s="5" t="s">
        <v>17</v>
      </c>
      <c r="H554" s="6">
        <v>0.0</v>
      </c>
    </row>
    <row r="555" spans="8:8" ht="23.85" hidden="1">
      <c r="A555" s="2">
        <v>1353.0</v>
      </c>
      <c r="B555" s="3" t="s">
        <v>251</v>
      </c>
      <c r="C555" s="3" t="s">
        <v>9</v>
      </c>
      <c r="D555" s="4" t="s">
        <v>14</v>
      </c>
      <c r="E555" s="4" t="s">
        <v>15</v>
      </c>
      <c r="F555" s="4" t="s">
        <v>16</v>
      </c>
      <c r="G555" s="5" t="s">
        <v>17</v>
      </c>
      <c r="H555" s="6">
        <v>0.0</v>
      </c>
    </row>
    <row r="556" spans="8:8" ht="23.85" hidden="1">
      <c r="A556" s="2">
        <v>1354.0</v>
      </c>
      <c r="B556" s="3" t="s">
        <v>251</v>
      </c>
      <c r="C556" s="3" t="s">
        <v>9</v>
      </c>
      <c r="D556" s="4" t="s">
        <v>14</v>
      </c>
      <c r="E556" s="4" t="s">
        <v>15</v>
      </c>
      <c r="F556" s="4" t="s">
        <v>16</v>
      </c>
      <c r="G556" s="5" t="s">
        <v>17</v>
      </c>
      <c r="H556" s="6">
        <v>0.0</v>
      </c>
    </row>
    <row r="557" spans="8:8" ht="23.85" hidden="1">
      <c r="A557" s="2">
        <v>1355.0</v>
      </c>
      <c r="B557" s="3" t="s">
        <v>251</v>
      </c>
      <c r="C557" s="3" t="s">
        <v>9</v>
      </c>
      <c r="D557" s="4" t="s">
        <v>14</v>
      </c>
      <c r="E557" s="4" t="s">
        <v>15</v>
      </c>
      <c r="F557" s="4" t="s">
        <v>16</v>
      </c>
      <c r="G557" s="5" t="s">
        <v>17</v>
      </c>
      <c r="H557" s="6">
        <v>0.0</v>
      </c>
    </row>
    <row r="558" spans="8:8" ht="23.85">
      <c r="A558" s="2">
        <v>1356.0</v>
      </c>
      <c r="B558" s="7" t="s">
        <v>251</v>
      </c>
      <c r="C558" s="12" t="s">
        <v>18</v>
      </c>
      <c r="D558" s="8" t="s">
        <v>304</v>
      </c>
      <c r="E558" s="8" t="s">
        <v>181</v>
      </c>
      <c r="F558" s="8" t="s">
        <v>21</v>
      </c>
      <c r="G558" s="9" t="s">
        <v>305</v>
      </c>
      <c r="H558" s="13">
        <v>4.0</v>
      </c>
    </row>
    <row r="559" spans="8:8" ht="23.85" hidden="1">
      <c r="A559" s="2">
        <v>1357.0</v>
      </c>
      <c r="B559" s="3" t="s">
        <v>251</v>
      </c>
      <c r="C559" s="3" t="s">
        <v>9</v>
      </c>
      <c r="D559" s="4" t="s">
        <v>14</v>
      </c>
      <c r="E559" s="4" t="s">
        <v>15</v>
      </c>
      <c r="F559" s="4" t="s">
        <v>16</v>
      </c>
      <c r="G559" s="5" t="s">
        <v>17</v>
      </c>
      <c r="H559" s="6">
        <v>0.0</v>
      </c>
    </row>
    <row r="560" spans="8:8" ht="23.85" hidden="1">
      <c r="A560" s="2">
        <v>1358.0</v>
      </c>
      <c r="B560" s="3" t="s">
        <v>251</v>
      </c>
      <c r="C560" s="3" t="s">
        <v>9</v>
      </c>
      <c r="D560" s="4" t="s">
        <v>14</v>
      </c>
      <c r="E560" s="4" t="s">
        <v>15</v>
      </c>
      <c r="F560" s="4" t="s">
        <v>16</v>
      </c>
      <c r="G560" s="5" t="s">
        <v>17</v>
      </c>
      <c r="H560" s="6">
        <v>0.0</v>
      </c>
    </row>
    <row r="561" spans="8:8" ht="23.85" hidden="1">
      <c r="A561" s="2">
        <v>1359.0</v>
      </c>
      <c r="B561" s="3" t="s">
        <v>251</v>
      </c>
      <c r="C561" s="3" t="s">
        <v>9</v>
      </c>
      <c r="D561" s="4" t="s">
        <v>14</v>
      </c>
      <c r="E561" s="4" t="s">
        <v>15</v>
      </c>
      <c r="F561" s="4" t="s">
        <v>16</v>
      </c>
      <c r="G561" s="5" t="s">
        <v>17</v>
      </c>
      <c r="H561" s="6">
        <v>0.0</v>
      </c>
    </row>
    <row r="562" spans="8:8" ht="23.85" hidden="1">
      <c r="A562" s="2">
        <v>1360.0</v>
      </c>
      <c r="B562" s="3" t="s">
        <v>251</v>
      </c>
      <c r="C562" s="3" t="s">
        <v>9</v>
      </c>
      <c r="D562" s="4" t="s">
        <v>14</v>
      </c>
      <c r="E562" s="4" t="s">
        <v>15</v>
      </c>
      <c r="F562" s="4" t="s">
        <v>16</v>
      </c>
      <c r="G562" s="5" t="s">
        <v>17</v>
      </c>
      <c r="H562" s="6">
        <v>0.0</v>
      </c>
    </row>
    <row r="563" spans="8:8" ht="15.0">
      <c r="A563" s="2">
        <v>1361.0</v>
      </c>
      <c r="B563" s="7" t="s">
        <v>251</v>
      </c>
      <c r="C563" s="7" t="s">
        <v>18</v>
      </c>
      <c r="D563" s="8" t="s">
        <v>306</v>
      </c>
      <c r="E563" s="8" t="s">
        <v>39</v>
      </c>
      <c r="F563" s="8" t="s">
        <v>94</v>
      </c>
      <c r="G563" s="9" t="s">
        <v>307</v>
      </c>
      <c r="H563" s="11">
        <v>2.0</v>
      </c>
    </row>
    <row r="564" spans="8:8" ht="23.85" hidden="1">
      <c r="A564" s="2">
        <v>1362.0</v>
      </c>
      <c r="B564" s="3" t="s">
        <v>251</v>
      </c>
      <c r="C564" s="3" t="s">
        <v>9</v>
      </c>
      <c r="D564" s="4" t="s">
        <v>14</v>
      </c>
      <c r="E564" s="4" t="s">
        <v>15</v>
      </c>
      <c r="F564" s="4" t="s">
        <v>16</v>
      </c>
      <c r="G564" s="5" t="s">
        <v>17</v>
      </c>
      <c r="H564" s="6">
        <v>0.0</v>
      </c>
    </row>
    <row r="565" spans="8:8" ht="23.85" hidden="1">
      <c r="A565" s="2">
        <v>1363.0</v>
      </c>
      <c r="B565" s="3" t="s">
        <v>251</v>
      </c>
      <c r="C565" s="3" t="s">
        <v>9</v>
      </c>
      <c r="D565" s="4" t="s">
        <v>14</v>
      </c>
      <c r="E565" s="4" t="s">
        <v>15</v>
      </c>
      <c r="F565" s="4" t="s">
        <v>16</v>
      </c>
      <c r="G565" s="5" t="s">
        <v>17</v>
      </c>
      <c r="H565" s="6">
        <v>0.0</v>
      </c>
    </row>
    <row r="566" spans="8:8" ht="23.85" hidden="1">
      <c r="A566" s="2">
        <v>1364.0</v>
      </c>
      <c r="B566" s="3" t="s">
        <v>251</v>
      </c>
      <c r="C566" s="3" t="s">
        <v>9</v>
      </c>
      <c r="D566" s="4" t="s">
        <v>14</v>
      </c>
      <c r="E566" s="4" t="s">
        <v>15</v>
      </c>
      <c r="F566" s="4" t="s">
        <v>16</v>
      </c>
      <c r="G566" s="5" t="s">
        <v>17</v>
      </c>
      <c r="H566" s="6">
        <v>0.0</v>
      </c>
    </row>
    <row r="567" spans="8:8" ht="23.85" hidden="1">
      <c r="A567" s="2">
        <v>1365.0</v>
      </c>
      <c r="B567" s="3" t="s">
        <v>251</v>
      </c>
      <c r="C567" s="3" t="s">
        <v>9</v>
      </c>
      <c r="D567" s="4" t="s">
        <v>14</v>
      </c>
      <c r="E567" s="4" t="s">
        <v>15</v>
      </c>
      <c r="F567" s="4" t="s">
        <v>16</v>
      </c>
      <c r="G567" s="5" t="s">
        <v>17</v>
      </c>
      <c r="H567" s="6">
        <v>0.0</v>
      </c>
    </row>
    <row r="568" spans="8:8" ht="23.85" hidden="1">
      <c r="A568" s="2">
        <v>1366.0</v>
      </c>
      <c r="B568" s="3" t="s">
        <v>251</v>
      </c>
      <c r="C568" s="3" t="s">
        <v>9</v>
      </c>
      <c r="D568" s="4" t="s">
        <v>14</v>
      </c>
      <c r="E568" s="4" t="s">
        <v>15</v>
      </c>
      <c r="F568" s="4" t="s">
        <v>16</v>
      </c>
      <c r="G568" s="5" t="s">
        <v>17</v>
      </c>
      <c r="H568" s="6">
        <v>0.0</v>
      </c>
    </row>
    <row r="569" spans="8:8" ht="23.85" hidden="1">
      <c r="A569" s="2">
        <v>1367.0</v>
      </c>
      <c r="B569" s="3" t="s">
        <v>251</v>
      </c>
      <c r="C569" s="3" t="s">
        <v>9</v>
      </c>
      <c r="D569" s="4" t="s">
        <v>14</v>
      </c>
      <c r="E569" s="4" t="s">
        <v>15</v>
      </c>
      <c r="F569" s="4" t="s">
        <v>16</v>
      </c>
      <c r="G569" s="5" t="s">
        <v>17</v>
      </c>
      <c r="H569" s="6">
        <v>0.0</v>
      </c>
    </row>
    <row r="570" spans="8:8" ht="23.85" hidden="1">
      <c r="A570" s="2">
        <v>1368.0</v>
      </c>
      <c r="B570" s="3" t="s">
        <v>251</v>
      </c>
      <c r="C570" s="3" t="s">
        <v>9</v>
      </c>
      <c r="D570" s="4" t="s">
        <v>14</v>
      </c>
      <c r="E570" s="4" t="s">
        <v>15</v>
      </c>
      <c r="F570" s="4" t="s">
        <v>16</v>
      </c>
      <c r="G570" s="5" t="s">
        <v>17</v>
      </c>
      <c r="H570" s="6">
        <v>0.0</v>
      </c>
    </row>
    <row r="571" spans="8:8" ht="23.85" hidden="1">
      <c r="A571" s="2">
        <v>1369.0</v>
      </c>
      <c r="B571" s="3" t="s">
        <v>251</v>
      </c>
      <c r="C571" s="3" t="s">
        <v>9</v>
      </c>
      <c r="D571" s="4" t="s">
        <v>14</v>
      </c>
      <c r="E571" s="4" t="s">
        <v>15</v>
      </c>
      <c r="F571" s="4" t="s">
        <v>16</v>
      </c>
      <c r="G571" s="5" t="s">
        <v>17</v>
      </c>
      <c r="H571" s="6">
        <v>0.0</v>
      </c>
    </row>
    <row r="572" spans="8:8" ht="23.85" hidden="1">
      <c r="A572" s="2">
        <v>1370.0</v>
      </c>
      <c r="B572" s="3" t="s">
        <v>251</v>
      </c>
      <c r="C572" s="3" t="s">
        <v>9</v>
      </c>
      <c r="D572" s="4" t="s">
        <v>14</v>
      </c>
      <c r="E572" s="4" t="s">
        <v>15</v>
      </c>
      <c r="F572" s="4" t="s">
        <v>16</v>
      </c>
      <c r="G572" s="5" t="s">
        <v>17</v>
      </c>
      <c r="H572" s="6">
        <v>0.0</v>
      </c>
    </row>
    <row r="573" spans="8:8" ht="23.85" hidden="1">
      <c r="A573" s="2">
        <v>1371.0</v>
      </c>
      <c r="B573" s="3" t="s">
        <v>251</v>
      </c>
      <c r="C573" s="3" t="s">
        <v>9</v>
      </c>
      <c r="D573" s="4" t="s">
        <v>14</v>
      </c>
      <c r="E573" s="4" t="s">
        <v>15</v>
      </c>
      <c r="F573" s="4" t="s">
        <v>16</v>
      </c>
      <c r="G573" s="5" t="s">
        <v>17</v>
      </c>
      <c r="H573" s="6">
        <v>0.0</v>
      </c>
    </row>
    <row r="574" spans="8:8" ht="23.85" hidden="1">
      <c r="A574" s="2">
        <v>1372.0</v>
      </c>
      <c r="B574" s="3" t="s">
        <v>251</v>
      </c>
      <c r="C574" s="3" t="s">
        <v>9</v>
      </c>
      <c r="D574" s="4" t="s">
        <v>14</v>
      </c>
      <c r="E574" s="4" t="s">
        <v>15</v>
      </c>
      <c r="F574" s="4" t="s">
        <v>16</v>
      </c>
      <c r="G574" s="5" t="s">
        <v>17</v>
      </c>
      <c r="H574" s="6">
        <v>0.0</v>
      </c>
    </row>
    <row r="575" spans="8:8" ht="23.85" hidden="1">
      <c r="A575" s="2">
        <v>1373.0</v>
      </c>
      <c r="B575" s="3" t="s">
        <v>251</v>
      </c>
      <c r="C575" s="3" t="s">
        <v>9</v>
      </c>
      <c r="D575" s="4" t="s">
        <v>14</v>
      </c>
      <c r="E575" s="4" t="s">
        <v>15</v>
      </c>
      <c r="F575" s="4" t="s">
        <v>16</v>
      </c>
      <c r="G575" s="5" t="s">
        <v>17</v>
      </c>
      <c r="H575" s="6">
        <v>0.0</v>
      </c>
    </row>
    <row r="576" spans="8:8" ht="23.85" hidden="1">
      <c r="A576" s="2">
        <v>1374.0</v>
      </c>
      <c r="B576" s="3" t="s">
        <v>251</v>
      </c>
      <c r="C576" s="3" t="s">
        <v>9</v>
      </c>
      <c r="D576" s="4" t="s">
        <v>14</v>
      </c>
      <c r="E576" s="4" t="s">
        <v>15</v>
      </c>
      <c r="F576" s="4" t="s">
        <v>16</v>
      </c>
      <c r="G576" s="5" t="s">
        <v>17</v>
      </c>
      <c r="H576" s="6">
        <v>0.0</v>
      </c>
    </row>
    <row r="577" spans="8:8" ht="23.85">
      <c r="A577" s="2">
        <v>1375.0</v>
      </c>
      <c r="B577" s="7" t="s">
        <v>251</v>
      </c>
      <c r="C577" s="7" t="s">
        <v>18</v>
      </c>
      <c r="D577" s="8" t="s">
        <v>308</v>
      </c>
      <c r="E577" s="8" t="s">
        <v>207</v>
      </c>
      <c r="F577" s="8" t="s">
        <v>271</v>
      </c>
      <c r="G577" s="9" t="s">
        <v>309</v>
      </c>
      <c r="H577" s="11">
        <v>2.0</v>
      </c>
    </row>
    <row r="578" spans="8:8" ht="23.85" hidden="1">
      <c r="A578" s="2">
        <v>1376.0</v>
      </c>
      <c r="B578" s="3" t="s">
        <v>251</v>
      </c>
      <c r="C578" s="3" t="s">
        <v>9</v>
      </c>
      <c r="D578" s="4" t="s">
        <v>14</v>
      </c>
      <c r="E578" s="4" t="s">
        <v>15</v>
      </c>
      <c r="F578" s="4" t="s">
        <v>16</v>
      </c>
      <c r="G578" s="5" t="s">
        <v>17</v>
      </c>
      <c r="H578" s="6">
        <v>0.0</v>
      </c>
    </row>
    <row r="579" spans="8:8" ht="23.85" hidden="1">
      <c r="A579" s="2">
        <v>1377.0</v>
      </c>
      <c r="B579" s="3" t="s">
        <v>251</v>
      </c>
      <c r="C579" s="3" t="s">
        <v>9</v>
      </c>
      <c r="D579" s="4" t="s">
        <v>14</v>
      </c>
      <c r="E579" s="4" t="s">
        <v>15</v>
      </c>
      <c r="F579" s="4" t="s">
        <v>16</v>
      </c>
      <c r="G579" s="5" t="s">
        <v>17</v>
      </c>
      <c r="H579" s="6">
        <v>0.0</v>
      </c>
    </row>
    <row r="580" spans="8:8" ht="15.0">
      <c r="A580" s="2">
        <v>1378.0</v>
      </c>
      <c r="B580" s="7" t="s">
        <v>251</v>
      </c>
      <c r="C580" s="7" t="s">
        <v>18</v>
      </c>
      <c r="D580" s="8" t="s">
        <v>310</v>
      </c>
      <c r="E580" s="8" t="s">
        <v>311</v>
      </c>
      <c r="F580" s="8" t="s">
        <v>271</v>
      </c>
      <c r="G580" s="9" t="s">
        <v>312</v>
      </c>
      <c r="H580" s="11">
        <v>2.0</v>
      </c>
    </row>
    <row r="581" spans="8:8" ht="23.85" hidden="1">
      <c r="A581" s="2">
        <v>1379.0</v>
      </c>
      <c r="B581" s="3" t="s">
        <v>251</v>
      </c>
      <c r="C581" s="3" t="s">
        <v>9</v>
      </c>
      <c r="D581" s="4" t="s">
        <v>14</v>
      </c>
      <c r="E581" s="4" t="s">
        <v>15</v>
      </c>
      <c r="F581" s="4" t="s">
        <v>16</v>
      </c>
      <c r="G581" s="5" t="s">
        <v>17</v>
      </c>
      <c r="H581" s="6">
        <v>0.0</v>
      </c>
    </row>
    <row r="582" spans="8:8" ht="23.85" hidden="1">
      <c r="A582" s="2">
        <v>1380.0</v>
      </c>
      <c r="B582" s="3" t="s">
        <v>251</v>
      </c>
      <c r="C582" s="3" t="s">
        <v>9</v>
      </c>
      <c r="D582" s="4" t="s">
        <v>14</v>
      </c>
      <c r="E582" s="4" t="s">
        <v>15</v>
      </c>
      <c r="F582" s="4" t="s">
        <v>16</v>
      </c>
      <c r="G582" s="5" t="s">
        <v>17</v>
      </c>
      <c r="H582" s="6">
        <v>0.0</v>
      </c>
    </row>
    <row r="583" spans="8:8" ht="15.0">
      <c r="A583" s="2">
        <v>1381.0</v>
      </c>
      <c r="B583" s="7" t="s">
        <v>251</v>
      </c>
      <c r="C583" s="7" t="s">
        <v>18</v>
      </c>
      <c r="D583" s="8" t="s">
        <v>313</v>
      </c>
      <c r="E583" s="8" t="s">
        <v>311</v>
      </c>
      <c r="F583" s="8" t="s">
        <v>69</v>
      </c>
      <c r="G583" s="9" t="s">
        <v>314</v>
      </c>
      <c r="H583" s="11">
        <v>2.0</v>
      </c>
    </row>
    <row r="584" spans="8:8" ht="23.85" hidden="1">
      <c r="A584" s="2">
        <v>1382.0</v>
      </c>
      <c r="B584" s="3" t="s">
        <v>251</v>
      </c>
      <c r="C584" s="3" t="s">
        <v>9</v>
      </c>
      <c r="D584" s="4" t="s">
        <v>14</v>
      </c>
      <c r="E584" s="4" t="s">
        <v>15</v>
      </c>
      <c r="F584" s="4" t="s">
        <v>16</v>
      </c>
      <c r="G584" s="5" t="s">
        <v>17</v>
      </c>
      <c r="H584" s="6">
        <v>0.0</v>
      </c>
    </row>
    <row r="585" spans="8:8" ht="23.85" hidden="1">
      <c r="A585" s="2">
        <v>1383.0</v>
      </c>
      <c r="B585" s="3" t="s">
        <v>251</v>
      </c>
      <c r="C585" s="3" t="s">
        <v>9</v>
      </c>
      <c r="D585" s="4" t="s">
        <v>14</v>
      </c>
      <c r="E585" s="4" t="s">
        <v>15</v>
      </c>
      <c r="F585" s="4" t="s">
        <v>16</v>
      </c>
      <c r="G585" s="5" t="s">
        <v>17</v>
      </c>
      <c r="H585" s="6">
        <v>0.0</v>
      </c>
    </row>
    <row r="586" spans="8:8" ht="23.85" hidden="1">
      <c r="A586" s="2">
        <v>1384.0</v>
      </c>
      <c r="B586" s="3" t="s">
        <v>251</v>
      </c>
      <c r="C586" s="3" t="s">
        <v>9</v>
      </c>
      <c r="D586" s="4" t="s">
        <v>14</v>
      </c>
      <c r="E586" s="4" t="s">
        <v>15</v>
      </c>
      <c r="F586" s="4" t="s">
        <v>16</v>
      </c>
      <c r="G586" s="5" t="s">
        <v>17</v>
      </c>
      <c r="H586" s="6">
        <v>0.0</v>
      </c>
    </row>
    <row r="587" spans="8:8" ht="23.85" hidden="1">
      <c r="A587" s="2">
        <v>1385.0</v>
      </c>
      <c r="B587" s="3" t="s">
        <v>251</v>
      </c>
      <c r="C587" s="3" t="s">
        <v>9</v>
      </c>
      <c r="D587" s="4" t="s">
        <v>14</v>
      </c>
      <c r="E587" s="4" t="s">
        <v>15</v>
      </c>
      <c r="F587" s="4" t="s">
        <v>16</v>
      </c>
      <c r="G587" s="5" t="s">
        <v>17</v>
      </c>
      <c r="H587" s="6">
        <v>0.0</v>
      </c>
    </row>
    <row r="588" spans="8:8" ht="23.85" hidden="1">
      <c r="A588" s="2">
        <v>1386.0</v>
      </c>
      <c r="B588" s="3" t="s">
        <v>251</v>
      </c>
      <c r="C588" s="3" t="s">
        <v>9</v>
      </c>
      <c r="D588" s="4" t="s">
        <v>14</v>
      </c>
      <c r="E588" s="4" t="s">
        <v>15</v>
      </c>
      <c r="F588" s="4" t="s">
        <v>16</v>
      </c>
      <c r="G588" s="5" t="s">
        <v>17</v>
      </c>
      <c r="H588" s="6">
        <v>0.0</v>
      </c>
    </row>
    <row r="589" spans="8:8" ht="23.85" hidden="1">
      <c r="A589" s="2">
        <v>1387.0</v>
      </c>
      <c r="B589" s="3" t="s">
        <v>251</v>
      </c>
      <c r="C589" s="3" t="s">
        <v>9</v>
      </c>
      <c r="D589" s="4" t="s">
        <v>14</v>
      </c>
      <c r="E589" s="4" t="s">
        <v>15</v>
      </c>
      <c r="F589" s="4" t="s">
        <v>16</v>
      </c>
      <c r="G589" s="5" t="s">
        <v>17</v>
      </c>
      <c r="H589" s="6">
        <v>0.0</v>
      </c>
    </row>
    <row r="590" spans="8:8" ht="23.85" hidden="1">
      <c r="A590" s="2">
        <v>1388.0</v>
      </c>
      <c r="B590" s="3" t="s">
        <v>251</v>
      </c>
      <c r="C590" s="3" t="s">
        <v>9</v>
      </c>
      <c r="D590" s="4" t="s">
        <v>14</v>
      </c>
      <c r="E590" s="4" t="s">
        <v>15</v>
      </c>
      <c r="F590" s="4" t="s">
        <v>16</v>
      </c>
      <c r="G590" s="5" t="s">
        <v>17</v>
      </c>
      <c r="H590" s="6">
        <v>0.0</v>
      </c>
    </row>
    <row r="591" spans="8:8" ht="23.85" hidden="1">
      <c r="A591" s="2">
        <v>1389.0</v>
      </c>
      <c r="B591" s="3" t="s">
        <v>251</v>
      </c>
      <c r="C591" s="3" t="s">
        <v>9</v>
      </c>
      <c r="D591" s="4" t="s">
        <v>14</v>
      </c>
      <c r="E591" s="4" t="s">
        <v>15</v>
      </c>
      <c r="F591" s="4" t="s">
        <v>16</v>
      </c>
      <c r="G591" s="5" t="s">
        <v>17</v>
      </c>
      <c r="H591" s="6">
        <v>0.0</v>
      </c>
    </row>
    <row r="592" spans="8:8" ht="15.0">
      <c r="A592" s="2">
        <v>1390.0</v>
      </c>
      <c r="B592" s="7" t="s">
        <v>251</v>
      </c>
      <c r="C592" s="7" t="s">
        <v>18</v>
      </c>
      <c r="D592" s="8" t="s">
        <v>315</v>
      </c>
      <c r="E592" s="8" t="s">
        <v>20</v>
      </c>
      <c r="F592" s="8" t="s">
        <v>94</v>
      </c>
      <c r="G592" s="9" t="s">
        <v>316</v>
      </c>
      <c r="H592" s="10">
        <v>3.0</v>
      </c>
    </row>
    <row r="593" spans="8:8" ht="23.85" hidden="1">
      <c r="A593" s="2">
        <v>1391.0</v>
      </c>
      <c r="B593" s="3" t="s">
        <v>251</v>
      </c>
      <c r="C593" s="3" t="s">
        <v>9</v>
      </c>
      <c r="D593" s="4" t="s">
        <v>14</v>
      </c>
      <c r="E593" s="4" t="s">
        <v>15</v>
      </c>
      <c r="F593" s="4" t="s">
        <v>16</v>
      </c>
      <c r="G593" s="5" t="s">
        <v>17</v>
      </c>
      <c r="H593" s="6">
        <v>0.0</v>
      </c>
    </row>
    <row r="594" spans="8:8" ht="23.85" hidden="1">
      <c r="A594" s="2">
        <v>1392.0</v>
      </c>
      <c r="B594" s="3" t="s">
        <v>251</v>
      </c>
      <c r="C594" s="3" t="s">
        <v>9</v>
      </c>
      <c r="D594" s="4" t="s">
        <v>14</v>
      </c>
      <c r="E594" s="4" t="s">
        <v>15</v>
      </c>
      <c r="F594" s="4" t="s">
        <v>16</v>
      </c>
      <c r="G594" s="5" t="s">
        <v>17</v>
      </c>
      <c r="H594" s="6">
        <v>0.0</v>
      </c>
    </row>
    <row r="595" spans="8:8" ht="23.85" hidden="1">
      <c r="A595" s="2">
        <v>1393.0</v>
      </c>
      <c r="B595" s="3" t="s">
        <v>251</v>
      </c>
      <c r="C595" s="3" t="s">
        <v>9</v>
      </c>
      <c r="D595" s="4" t="s">
        <v>14</v>
      </c>
      <c r="E595" s="4" t="s">
        <v>15</v>
      </c>
      <c r="F595" s="4" t="s">
        <v>16</v>
      </c>
      <c r="G595" s="5" t="s">
        <v>17</v>
      </c>
      <c r="H595" s="6">
        <v>0.0</v>
      </c>
    </row>
    <row r="596" spans="8:8" ht="23.85" hidden="1">
      <c r="A596" s="2">
        <v>1394.0</v>
      </c>
      <c r="B596" s="3" t="s">
        <v>251</v>
      </c>
      <c r="C596" s="3" t="s">
        <v>9</v>
      </c>
      <c r="D596" s="4" t="s">
        <v>14</v>
      </c>
      <c r="E596" s="4" t="s">
        <v>15</v>
      </c>
      <c r="F596" s="4" t="s">
        <v>16</v>
      </c>
      <c r="G596" s="5" t="s">
        <v>17</v>
      </c>
      <c r="H596" s="6">
        <v>0.0</v>
      </c>
    </row>
    <row r="597" spans="8:8" ht="23.85">
      <c r="A597" s="2">
        <v>1395.0</v>
      </c>
      <c r="B597" s="7" t="s">
        <v>251</v>
      </c>
      <c r="C597" s="7" t="s">
        <v>18</v>
      </c>
      <c r="D597" s="8" t="s">
        <v>317</v>
      </c>
      <c r="E597" s="8" t="s">
        <v>318</v>
      </c>
      <c r="F597" s="8" t="s">
        <v>94</v>
      </c>
      <c r="G597" s="9" t="s">
        <v>319</v>
      </c>
      <c r="H597" s="10">
        <v>3.0</v>
      </c>
    </row>
    <row r="598" spans="8:8" ht="23.85" hidden="1">
      <c r="A598" s="2">
        <v>1396.0</v>
      </c>
      <c r="B598" s="3" t="s">
        <v>251</v>
      </c>
      <c r="C598" s="3" t="s">
        <v>9</v>
      </c>
      <c r="D598" s="4" t="s">
        <v>14</v>
      </c>
      <c r="E598" s="4" t="s">
        <v>15</v>
      </c>
      <c r="F598" s="4" t="s">
        <v>16</v>
      </c>
      <c r="G598" s="5" t="s">
        <v>17</v>
      </c>
      <c r="H598" s="6">
        <v>0.0</v>
      </c>
    </row>
    <row r="599" spans="8:8" ht="23.85" hidden="1">
      <c r="A599" s="2">
        <v>1397.0</v>
      </c>
      <c r="B599" s="3" t="s">
        <v>251</v>
      </c>
      <c r="C599" s="3" t="s">
        <v>9</v>
      </c>
      <c r="D599" s="4" t="s">
        <v>14</v>
      </c>
      <c r="E599" s="4" t="s">
        <v>15</v>
      </c>
      <c r="F599" s="4" t="s">
        <v>16</v>
      </c>
      <c r="G599" s="5" t="s">
        <v>17</v>
      </c>
      <c r="H599" s="6">
        <v>0.0</v>
      </c>
    </row>
    <row r="600" spans="8:8" ht="23.85" hidden="1">
      <c r="A600" s="2">
        <v>1398.0</v>
      </c>
      <c r="B600" s="3" t="s">
        <v>251</v>
      </c>
      <c r="C600" s="3" t="s">
        <v>9</v>
      </c>
      <c r="D600" s="4" t="s">
        <v>14</v>
      </c>
      <c r="E600" s="4" t="s">
        <v>15</v>
      </c>
      <c r="F600" s="4" t="s">
        <v>16</v>
      </c>
      <c r="G600" s="5" t="s">
        <v>17</v>
      </c>
      <c r="H600" s="6">
        <v>0.0</v>
      </c>
    </row>
    <row r="601" spans="8:8" ht="23.85" hidden="1">
      <c r="A601" s="2">
        <v>1399.0</v>
      </c>
      <c r="B601" s="3" t="s">
        <v>251</v>
      </c>
      <c r="C601" s="3" t="s">
        <v>9</v>
      </c>
      <c r="D601" s="4" t="s">
        <v>14</v>
      </c>
      <c r="E601" s="4" t="s">
        <v>15</v>
      </c>
      <c r="F601" s="4" t="s">
        <v>16</v>
      </c>
      <c r="G601" s="5" t="s">
        <v>17</v>
      </c>
      <c r="H601" s="6">
        <v>0.0</v>
      </c>
    </row>
    <row r="602" spans="8:8" ht="15.0">
      <c r="A602" s="2">
        <v>1400.0</v>
      </c>
      <c r="B602" s="7" t="s">
        <v>251</v>
      </c>
      <c r="C602" s="7" t="s">
        <v>18</v>
      </c>
      <c r="D602" s="8" t="s">
        <v>320</v>
      </c>
      <c r="E602" s="8" t="s">
        <v>318</v>
      </c>
      <c r="F602" s="8" t="s">
        <v>94</v>
      </c>
      <c r="G602" s="9" t="s">
        <v>321</v>
      </c>
      <c r="H602" s="10">
        <v>3.0</v>
      </c>
    </row>
    <row r="603" spans="8:8" ht="23.85" hidden="1">
      <c r="A603" s="2">
        <v>1401.0</v>
      </c>
      <c r="B603" s="3" t="s">
        <v>251</v>
      </c>
      <c r="C603" s="3" t="s">
        <v>9</v>
      </c>
      <c r="D603" s="4" t="s">
        <v>14</v>
      </c>
      <c r="E603" s="4" t="s">
        <v>15</v>
      </c>
      <c r="F603" s="4" t="s">
        <v>16</v>
      </c>
      <c r="G603" s="5" t="s">
        <v>17</v>
      </c>
      <c r="H603" s="6">
        <v>0.0</v>
      </c>
    </row>
    <row r="604" spans="8:8" ht="23.85" hidden="1">
      <c r="A604" s="2">
        <v>1402.0</v>
      </c>
      <c r="B604" s="3" t="s">
        <v>251</v>
      </c>
      <c r="C604" s="3" t="s">
        <v>9</v>
      </c>
      <c r="D604" s="4" t="s">
        <v>14</v>
      </c>
      <c r="E604" s="4" t="s">
        <v>15</v>
      </c>
      <c r="F604" s="4" t="s">
        <v>16</v>
      </c>
      <c r="G604" s="5" t="s">
        <v>17</v>
      </c>
      <c r="H604" s="6">
        <v>0.0</v>
      </c>
    </row>
    <row r="605" spans="8:8" ht="23.85" hidden="1">
      <c r="A605" s="2">
        <v>1403.0</v>
      </c>
      <c r="B605" s="3" t="s">
        <v>251</v>
      </c>
      <c r="C605" s="3" t="s">
        <v>9</v>
      </c>
      <c r="D605" s="4" t="s">
        <v>14</v>
      </c>
      <c r="E605" s="4" t="s">
        <v>15</v>
      </c>
      <c r="F605" s="4" t="s">
        <v>16</v>
      </c>
      <c r="G605" s="5" t="s">
        <v>17</v>
      </c>
      <c r="H605" s="6">
        <v>0.0</v>
      </c>
    </row>
    <row r="606" spans="8:8" ht="23.85" hidden="1">
      <c r="A606" s="2">
        <v>1404.0</v>
      </c>
      <c r="B606" s="3" t="s">
        <v>251</v>
      </c>
      <c r="C606" s="3" t="s">
        <v>9</v>
      </c>
      <c r="D606" s="4" t="s">
        <v>14</v>
      </c>
      <c r="E606" s="4" t="s">
        <v>15</v>
      </c>
      <c r="F606" s="4" t="s">
        <v>16</v>
      </c>
      <c r="G606" s="5" t="s">
        <v>17</v>
      </c>
      <c r="H606" s="6">
        <v>0.0</v>
      </c>
    </row>
    <row r="607" spans="8:8" ht="23.85" hidden="1">
      <c r="A607" s="2">
        <v>1405.0</v>
      </c>
      <c r="B607" s="3" t="s">
        <v>251</v>
      </c>
      <c r="C607" s="3" t="s">
        <v>9</v>
      </c>
      <c r="D607" s="4" t="s">
        <v>14</v>
      </c>
      <c r="E607" s="4" t="s">
        <v>15</v>
      </c>
      <c r="F607" s="4" t="s">
        <v>16</v>
      </c>
      <c r="G607" s="5" t="s">
        <v>17</v>
      </c>
      <c r="H607" s="6">
        <v>0.0</v>
      </c>
    </row>
    <row r="608" spans="8:8" ht="23.85" hidden="1">
      <c r="A608" s="2">
        <v>1406.0</v>
      </c>
      <c r="B608" s="3" t="s">
        <v>251</v>
      </c>
      <c r="C608" s="3" t="s">
        <v>9</v>
      </c>
      <c r="D608" s="4" t="s">
        <v>14</v>
      </c>
      <c r="E608" s="4" t="s">
        <v>15</v>
      </c>
      <c r="F608" s="4" t="s">
        <v>16</v>
      </c>
      <c r="G608" s="5" t="s">
        <v>17</v>
      </c>
      <c r="H608" s="6">
        <v>0.0</v>
      </c>
    </row>
    <row r="609" spans="8:8" ht="23.85" hidden="1">
      <c r="A609" s="2">
        <v>1407.0</v>
      </c>
      <c r="B609" s="3" t="s">
        <v>251</v>
      </c>
      <c r="C609" s="3" t="s">
        <v>9</v>
      </c>
      <c r="D609" s="4" t="s">
        <v>14</v>
      </c>
      <c r="E609" s="4" t="s">
        <v>15</v>
      </c>
      <c r="F609" s="4" t="s">
        <v>16</v>
      </c>
      <c r="G609" s="5" t="s">
        <v>17</v>
      </c>
      <c r="H609" s="6">
        <v>0.0</v>
      </c>
    </row>
    <row r="610" spans="8:8" ht="23.85" hidden="1">
      <c r="A610" s="2">
        <v>1408.0</v>
      </c>
      <c r="B610" s="3" t="s">
        <v>251</v>
      </c>
      <c r="C610" s="3" t="s">
        <v>9</v>
      </c>
      <c r="D610" s="4" t="s">
        <v>14</v>
      </c>
      <c r="E610" s="4" t="s">
        <v>15</v>
      </c>
      <c r="F610" s="4" t="s">
        <v>16</v>
      </c>
      <c r="G610" s="5" t="s">
        <v>17</v>
      </c>
      <c r="H610" s="6">
        <v>0.0</v>
      </c>
    </row>
    <row r="611" spans="8:8" ht="23.85" hidden="1">
      <c r="A611" s="2">
        <v>1409.0</v>
      </c>
      <c r="B611" s="3" t="s">
        <v>251</v>
      </c>
      <c r="C611" s="3" t="s">
        <v>9</v>
      </c>
      <c r="D611" s="4" t="s">
        <v>14</v>
      </c>
      <c r="E611" s="4" t="s">
        <v>15</v>
      </c>
      <c r="F611" s="4" t="s">
        <v>16</v>
      </c>
      <c r="G611" s="5" t="s">
        <v>17</v>
      </c>
      <c r="H611" s="6">
        <v>0.0</v>
      </c>
    </row>
    <row r="612" spans="8:8" ht="15.0">
      <c r="A612" s="2">
        <v>1410.0</v>
      </c>
      <c r="B612" s="7" t="s">
        <v>251</v>
      </c>
      <c r="C612" s="7" t="s">
        <v>18</v>
      </c>
      <c r="D612" s="8" t="s">
        <v>322</v>
      </c>
      <c r="E612" s="8" t="s">
        <v>20</v>
      </c>
      <c r="F612" s="8" t="s">
        <v>94</v>
      </c>
      <c r="G612" s="9" t="s">
        <v>323</v>
      </c>
      <c r="H612" s="10">
        <v>3.0</v>
      </c>
    </row>
    <row r="613" spans="8:8" ht="23.85" hidden="1">
      <c r="A613" s="2">
        <v>1411.0</v>
      </c>
      <c r="B613" s="3" t="s">
        <v>251</v>
      </c>
      <c r="C613" s="3" t="s">
        <v>9</v>
      </c>
      <c r="D613" s="4" t="s">
        <v>14</v>
      </c>
      <c r="E613" s="4" t="s">
        <v>15</v>
      </c>
      <c r="F613" s="4" t="s">
        <v>16</v>
      </c>
      <c r="G613" s="5" t="s">
        <v>17</v>
      </c>
      <c r="H613" s="6">
        <v>0.0</v>
      </c>
    </row>
    <row r="614" spans="8:8" ht="23.85" hidden="1">
      <c r="A614" s="2">
        <v>1412.0</v>
      </c>
      <c r="B614" s="3" t="s">
        <v>251</v>
      </c>
      <c r="C614" s="3" t="s">
        <v>9</v>
      </c>
      <c r="D614" s="4" t="s">
        <v>14</v>
      </c>
      <c r="E614" s="4" t="s">
        <v>15</v>
      </c>
      <c r="F614" s="4" t="s">
        <v>16</v>
      </c>
      <c r="G614" s="5" t="s">
        <v>17</v>
      </c>
      <c r="H614" s="6">
        <v>0.0</v>
      </c>
    </row>
    <row r="615" spans="8:8" ht="23.85" hidden="1">
      <c r="A615" s="2">
        <v>1413.0</v>
      </c>
      <c r="B615" s="3" t="s">
        <v>251</v>
      </c>
      <c r="C615" s="3" t="s">
        <v>9</v>
      </c>
      <c r="D615" s="4" t="s">
        <v>14</v>
      </c>
      <c r="E615" s="4" t="s">
        <v>15</v>
      </c>
      <c r="F615" s="4" t="s">
        <v>16</v>
      </c>
      <c r="G615" s="5" t="s">
        <v>17</v>
      </c>
      <c r="H615" s="6">
        <v>0.0</v>
      </c>
    </row>
    <row r="616" spans="8:8" ht="23.85" hidden="1">
      <c r="A616" s="2">
        <v>1414.0</v>
      </c>
      <c r="B616" s="3" t="s">
        <v>251</v>
      </c>
      <c r="C616" s="3" t="s">
        <v>9</v>
      </c>
      <c r="D616" s="4" t="s">
        <v>14</v>
      </c>
      <c r="E616" s="4" t="s">
        <v>15</v>
      </c>
      <c r="F616" s="4" t="s">
        <v>16</v>
      </c>
      <c r="G616" s="5" t="s">
        <v>17</v>
      </c>
      <c r="H616" s="6">
        <v>0.0</v>
      </c>
    </row>
    <row r="617" spans="8:8" ht="15.0">
      <c r="A617" s="2">
        <v>1415.0</v>
      </c>
      <c r="B617" s="7" t="s">
        <v>251</v>
      </c>
      <c r="C617" s="7" t="s">
        <v>18</v>
      </c>
      <c r="D617" s="8" t="s">
        <v>324</v>
      </c>
      <c r="E617" s="8" t="s">
        <v>20</v>
      </c>
      <c r="F617" s="8" t="s">
        <v>94</v>
      </c>
      <c r="G617" s="9" t="s">
        <v>325</v>
      </c>
      <c r="H617" s="11">
        <v>2.0</v>
      </c>
    </row>
    <row r="618" spans="8:8" ht="23.85" hidden="1">
      <c r="A618" s="2">
        <v>1416.0</v>
      </c>
      <c r="B618" s="3" t="s">
        <v>251</v>
      </c>
      <c r="C618" s="3" t="s">
        <v>9</v>
      </c>
      <c r="D618" s="4" t="s">
        <v>14</v>
      </c>
      <c r="E618" s="4" t="s">
        <v>15</v>
      </c>
      <c r="F618" s="4" t="s">
        <v>16</v>
      </c>
      <c r="G618" s="5" t="s">
        <v>17</v>
      </c>
      <c r="H618" s="6">
        <v>0.0</v>
      </c>
    </row>
    <row r="619" spans="8:8" ht="23.85" hidden="1">
      <c r="A619" s="2">
        <v>1417.0</v>
      </c>
      <c r="B619" s="3" t="s">
        <v>251</v>
      </c>
      <c r="C619" s="3" t="s">
        <v>9</v>
      </c>
      <c r="D619" s="4" t="s">
        <v>14</v>
      </c>
      <c r="E619" s="4" t="s">
        <v>15</v>
      </c>
      <c r="F619" s="4" t="s">
        <v>16</v>
      </c>
      <c r="G619" s="5" t="s">
        <v>17</v>
      </c>
      <c r="H619" s="6">
        <v>0.0</v>
      </c>
    </row>
    <row r="620" spans="8:8" ht="23.85" hidden="1">
      <c r="A620" s="2">
        <v>1418.0</v>
      </c>
      <c r="B620" s="3" t="s">
        <v>251</v>
      </c>
      <c r="C620" s="3" t="s">
        <v>9</v>
      </c>
      <c r="D620" s="4" t="s">
        <v>14</v>
      </c>
      <c r="E620" s="4" t="s">
        <v>15</v>
      </c>
      <c r="F620" s="4" t="s">
        <v>16</v>
      </c>
      <c r="G620" s="5" t="s">
        <v>17</v>
      </c>
      <c r="H620" s="6">
        <v>0.0</v>
      </c>
    </row>
    <row r="621" spans="8:8" ht="23.85" hidden="1">
      <c r="A621" s="2">
        <v>1419.0</v>
      </c>
      <c r="B621" s="3" t="s">
        <v>251</v>
      </c>
      <c r="C621" s="3" t="s">
        <v>9</v>
      </c>
      <c r="D621" s="4" t="s">
        <v>14</v>
      </c>
      <c r="E621" s="4" t="s">
        <v>15</v>
      </c>
      <c r="F621" s="4" t="s">
        <v>16</v>
      </c>
      <c r="G621" s="5" t="s">
        <v>17</v>
      </c>
      <c r="H621" s="6">
        <v>0.0</v>
      </c>
    </row>
    <row r="622" spans="8:8" ht="23.85" hidden="1">
      <c r="A622" s="2">
        <v>1420.0</v>
      </c>
      <c r="B622" s="3" t="s">
        <v>251</v>
      </c>
      <c r="C622" s="3" t="s">
        <v>9</v>
      </c>
      <c r="D622" s="4" t="s">
        <v>14</v>
      </c>
      <c r="E622" s="4" t="s">
        <v>15</v>
      </c>
      <c r="F622" s="4" t="s">
        <v>16</v>
      </c>
      <c r="G622" s="5" t="s">
        <v>17</v>
      </c>
      <c r="H622" s="6">
        <v>0.0</v>
      </c>
    </row>
    <row r="623" spans="8:8" ht="15.0">
      <c r="A623" s="2">
        <v>1421.0</v>
      </c>
      <c r="B623" s="7" t="s">
        <v>251</v>
      </c>
      <c r="C623" s="7" t="s">
        <v>18</v>
      </c>
      <c r="D623" s="8" t="s">
        <v>326</v>
      </c>
      <c r="E623" s="8" t="s">
        <v>327</v>
      </c>
      <c r="F623" s="8" t="s">
        <v>271</v>
      </c>
      <c r="G623" s="9" t="s">
        <v>328</v>
      </c>
      <c r="H623" s="11">
        <v>2.0</v>
      </c>
    </row>
    <row r="624" spans="8:8" ht="23.85" hidden="1">
      <c r="A624" s="2">
        <v>1422.0</v>
      </c>
      <c r="B624" s="3" t="s">
        <v>251</v>
      </c>
      <c r="C624" s="3" t="s">
        <v>9</v>
      </c>
      <c r="D624" s="4" t="s">
        <v>14</v>
      </c>
      <c r="E624" s="4" t="s">
        <v>15</v>
      </c>
      <c r="F624" s="4" t="s">
        <v>16</v>
      </c>
      <c r="G624" s="5" t="s">
        <v>17</v>
      </c>
      <c r="H624" s="6">
        <v>0.0</v>
      </c>
    </row>
    <row r="625" spans="8:8" ht="23.85" hidden="1">
      <c r="A625" s="2">
        <v>1423.0</v>
      </c>
      <c r="B625" s="3" t="s">
        <v>251</v>
      </c>
      <c r="C625" s="3" t="s">
        <v>9</v>
      </c>
      <c r="D625" s="4" t="s">
        <v>14</v>
      </c>
      <c r="E625" s="4" t="s">
        <v>15</v>
      </c>
      <c r="F625" s="4" t="s">
        <v>16</v>
      </c>
      <c r="G625" s="5" t="s">
        <v>17</v>
      </c>
      <c r="H625" s="6">
        <v>0.0</v>
      </c>
    </row>
    <row r="626" spans="8:8" ht="23.85" hidden="1">
      <c r="A626" s="2">
        <v>1424.0</v>
      </c>
      <c r="B626" s="3" t="s">
        <v>251</v>
      </c>
      <c r="C626" s="3" t="s">
        <v>9</v>
      </c>
      <c r="D626" s="4" t="s">
        <v>14</v>
      </c>
      <c r="E626" s="4" t="s">
        <v>15</v>
      </c>
      <c r="F626" s="4" t="s">
        <v>16</v>
      </c>
      <c r="G626" s="5" t="s">
        <v>17</v>
      </c>
      <c r="H626" s="6">
        <v>0.0</v>
      </c>
    </row>
    <row r="627" spans="8:8" ht="23.85">
      <c r="A627" s="2">
        <v>1425.0</v>
      </c>
      <c r="B627" s="7" t="s">
        <v>251</v>
      </c>
      <c r="C627" s="12" t="s">
        <v>18</v>
      </c>
      <c r="D627" s="8" t="s">
        <v>329</v>
      </c>
      <c r="E627" s="8" t="s">
        <v>181</v>
      </c>
      <c r="F627" s="8" t="s">
        <v>21</v>
      </c>
      <c r="G627" s="9" t="s">
        <v>330</v>
      </c>
      <c r="H627" s="13">
        <v>4.0</v>
      </c>
    </row>
    <row r="628" spans="8:8" ht="23.85" hidden="1">
      <c r="A628" s="2">
        <v>1426.0</v>
      </c>
      <c r="B628" s="3" t="s">
        <v>251</v>
      </c>
      <c r="C628" s="3" t="s">
        <v>9</v>
      </c>
      <c r="D628" s="4" t="s">
        <v>14</v>
      </c>
      <c r="E628" s="4" t="s">
        <v>15</v>
      </c>
      <c r="F628" s="4" t="s">
        <v>16</v>
      </c>
      <c r="G628" s="5" t="s">
        <v>17</v>
      </c>
      <c r="H628" s="6">
        <v>0.0</v>
      </c>
    </row>
    <row r="629" spans="8:8" ht="23.85" hidden="1">
      <c r="A629" s="2">
        <v>1427.0</v>
      </c>
      <c r="B629" s="3" t="s">
        <v>251</v>
      </c>
      <c r="C629" s="3" t="s">
        <v>9</v>
      </c>
      <c r="D629" s="4" t="s">
        <v>14</v>
      </c>
      <c r="E629" s="4" t="s">
        <v>15</v>
      </c>
      <c r="F629" s="4" t="s">
        <v>16</v>
      </c>
      <c r="G629" s="5" t="s">
        <v>17</v>
      </c>
      <c r="H629" s="6">
        <v>0.0</v>
      </c>
    </row>
    <row r="630" spans="8:8" ht="23.85" hidden="1">
      <c r="A630" s="2">
        <v>1428.0</v>
      </c>
      <c r="B630" s="3" t="s">
        <v>251</v>
      </c>
      <c r="C630" s="3" t="s">
        <v>9</v>
      </c>
      <c r="D630" s="4" t="s">
        <v>14</v>
      </c>
      <c r="E630" s="4" t="s">
        <v>15</v>
      </c>
      <c r="F630" s="4" t="s">
        <v>16</v>
      </c>
      <c r="G630" s="5" t="s">
        <v>17</v>
      </c>
      <c r="H630" s="6">
        <v>0.0</v>
      </c>
    </row>
    <row r="631" spans="8:8" ht="23.85" hidden="1">
      <c r="A631" s="2">
        <v>1429.0</v>
      </c>
      <c r="B631" s="3" t="s">
        <v>251</v>
      </c>
      <c r="C631" s="3" t="s">
        <v>9</v>
      </c>
      <c r="D631" s="4" t="s">
        <v>14</v>
      </c>
      <c r="E631" s="4" t="s">
        <v>15</v>
      </c>
      <c r="F631" s="4" t="s">
        <v>16</v>
      </c>
      <c r="G631" s="5" t="s">
        <v>17</v>
      </c>
      <c r="H631" s="6">
        <v>0.0</v>
      </c>
    </row>
    <row r="632" spans="8:8" ht="23.85" hidden="1">
      <c r="A632" s="2">
        <v>1430.0</v>
      </c>
      <c r="B632" s="3" t="s">
        <v>251</v>
      </c>
      <c r="C632" s="3" t="s">
        <v>9</v>
      </c>
      <c r="D632" s="4" t="s">
        <v>14</v>
      </c>
      <c r="E632" s="4" t="s">
        <v>15</v>
      </c>
      <c r="F632" s="4" t="s">
        <v>16</v>
      </c>
      <c r="G632" s="5" t="s">
        <v>17</v>
      </c>
      <c r="H632" s="6">
        <v>0.0</v>
      </c>
    </row>
    <row r="633" spans="8:8" ht="23.85" hidden="1">
      <c r="A633" s="2">
        <v>1431.0</v>
      </c>
      <c r="B633" s="3" t="s">
        <v>251</v>
      </c>
      <c r="C633" s="3" t="s">
        <v>9</v>
      </c>
      <c r="D633" s="4" t="s">
        <v>14</v>
      </c>
      <c r="E633" s="4" t="s">
        <v>15</v>
      </c>
      <c r="F633" s="4" t="s">
        <v>16</v>
      </c>
      <c r="G633" s="5" t="s">
        <v>17</v>
      </c>
      <c r="H633" s="6">
        <v>0.0</v>
      </c>
    </row>
    <row r="634" spans="8:8" ht="23.85" hidden="1">
      <c r="A634" s="2">
        <v>1432.0</v>
      </c>
      <c r="B634" s="3" t="s">
        <v>251</v>
      </c>
      <c r="C634" s="3" t="s">
        <v>9</v>
      </c>
      <c r="D634" s="4" t="s">
        <v>14</v>
      </c>
      <c r="E634" s="4" t="s">
        <v>15</v>
      </c>
      <c r="F634" s="4" t="s">
        <v>16</v>
      </c>
      <c r="G634" s="5" t="s">
        <v>17</v>
      </c>
      <c r="H634" s="6">
        <v>0.0</v>
      </c>
    </row>
    <row r="635" spans="8:8" ht="23.85" hidden="1">
      <c r="A635" s="2">
        <v>1433.0</v>
      </c>
      <c r="B635" s="3" t="s">
        <v>251</v>
      </c>
      <c r="C635" s="3" t="s">
        <v>9</v>
      </c>
      <c r="D635" s="4" t="s">
        <v>14</v>
      </c>
      <c r="E635" s="4" t="s">
        <v>15</v>
      </c>
      <c r="F635" s="4" t="s">
        <v>16</v>
      </c>
      <c r="G635" s="5" t="s">
        <v>17</v>
      </c>
      <c r="H635" s="6">
        <v>0.0</v>
      </c>
    </row>
    <row r="636" spans="8:8" ht="23.85" hidden="1">
      <c r="A636" s="2">
        <v>1434.0</v>
      </c>
      <c r="B636" s="3" t="s">
        <v>251</v>
      </c>
      <c r="C636" s="3" t="s">
        <v>9</v>
      </c>
      <c r="D636" s="4" t="s">
        <v>14</v>
      </c>
      <c r="E636" s="4" t="s">
        <v>15</v>
      </c>
      <c r="F636" s="4" t="s">
        <v>16</v>
      </c>
      <c r="G636" s="5" t="s">
        <v>17</v>
      </c>
      <c r="H636" s="6">
        <v>0.0</v>
      </c>
    </row>
    <row r="637" spans="8:8" ht="23.85" hidden="1">
      <c r="A637" s="2">
        <v>1435.0</v>
      </c>
      <c r="B637" s="3" t="s">
        <v>251</v>
      </c>
      <c r="C637" s="3" t="s">
        <v>9</v>
      </c>
      <c r="D637" s="4" t="s">
        <v>14</v>
      </c>
      <c r="E637" s="4" t="s">
        <v>15</v>
      </c>
      <c r="F637" s="4" t="s">
        <v>16</v>
      </c>
      <c r="G637" s="5" t="s">
        <v>17</v>
      </c>
      <c r="H637" s="6">
        <v>0.0</v>
      </c>
    </row>
    <row r="638" spans="8:8" ht="23.85" hidden="1">
      <c r="A638" s="2">
        <v>1436.0</v>
      </c>
      <c r="B638" s="3" t="s">
        <v>251</v>
      </c>
      <c r="C638" s="3" t="s">
        <v>9</v>
      </c>
      <c r="D638" s="4" t="s">
        <v>14</v>
      </c>
      <c r="E638" s="4" t="s">
        <v>15</v>
      </c>
      <c r="F638" s="4" t="s">
        <v>16</v>
      </c>
      <c r="G638" s="5" t="s">
        <v>17</v>
      </c>
      <c r="H638" s="6">
        <v>0.0</v>
      </c>
    </row>
    <row r="639" spans="8:8" ht="23.85" hidden="1">
      <c r="A639" s="2">
        <v>1437.0</v>
      </c>
      <c r="B639" s="3" t="s">
        <v>251</v>
      </c>
      <c r="C639" s="3" t="s">
        <v>9</v>
      </c>
      <c r="D639" s="4" t="s">
        <v>14</v>
      </c>
      <c r="E639" s="4" t="s">
        <v>15</v>
      </c>
      <c r="F639" s="4" t="s">
        <v>16</v>
      </c>
      <c r="G639" s="5" t="s">
        <v>17</v>
      </c>
      <c r="H639" s="6">
        <v>0.0</v>
      </c>
    </row>
    <row r="640" spans="8:8" ht="23.85" hidden="1">
      <c r="A640" s="2">
        <v>1438.0</v>
      </c>
      <c r="B640" s="3" t="s">
        <v>251</v>
      </c>
      <c r="C640" s="3" t="s">
        <v>9</v>
      </c>
      <c r="D640" s="4" t="s">
        <v>14</v>
      </c>
      <c r="E640" s="4" t="s">
        <v>15</v>
      </c>
      <c r="F640" s="4" t="s">
        <v>16</v>
      </c>
      <c r="G640" s="5" t="s">
        <v>17</v>
      </c>
      <c r="H640" s="6">
        <v>0.0</v>
      </c>
    </row>
    <row r="641" spans="8:8" ht="23.85" hidden="1">
      <c r="A641" s="2">
        <v>1439.0</v>
      </c>
      <c r="B641" s="3" t="s">
        <v>251</v>
      </c>
      <c r="C641" s="3" t="s">
        <v>9</v>
      </c>
      <c r="D641" s="4" t="s">
        <v>14</v>
      </c>
      <c r="E641" s="4" t="s">
        <v>15</v>
      </c>
      <c r="F641" s="4" t="s">
        <v>16</v>
      </c>
      <c r="G641" s="5" t="s">
        <v>17</v>
      </c>
      <c r="H641" s="6">
        <v>0.0</v>
      </c>
    </row>
    <row r="642" spans="8:8" ht="23.85" hidden="1">
      <c r="A642" s="2">
        <v>1440.0</v>
      </c>
      <c r="B642" s="3" t="s">
        <v>251</v>
      </c>
      <c r="C642" s="3" t="s">
        <v>9</v>
      </c>
      <c r="D642" s="4" t="s">
        <v>14</v>
      </c>
      <c r="E642" s="4" t="s">
        <v>15</v>
      </c>
      <c r="F642" s="4" t="s">
        <v>16</v>
      </c>
      <c r="G642" s="5" t="s">
        <v>17</v>
      </c>
      <c r="H642" s="6">
        <v>0.0</v>
      </c>
    </row>
    <row r="643" spans="8:8" ht="23.85">
      <c r="A643" s="2">
        <v>1441.0</v>
      </c>
      <c r="B643" s="7" t="s">
        <v>251</v>
      </c>
      <c r="C643" s="7" t="s">
        <v>18</v>
      </c>
      <c r="D643" s="8" t="s">
        <v>331</v>
      </c>
      <c r="E643" s="8" t="s">
        <v>241</v>
      </c>
      <c r="F643" s="8" t="s">
        <v>242</v>
      </c>
      <c r="G643" s="9" t="s">
        <v>332</v>
      </c>
      <c r="H643" s="10">
        <v>3.0</v>
      </c>
    </row>
    <row r="644" spans="8:8" ht="23.85" hidden="1">
      <c r="A644" s="2">
        <v>1442.0</v>
      </c>
      <c r="B644" s="3" t="s">
        <v>251</v>
      </c>
      <c r="C644" s="3" t="s">
        <v>9</v>
      </c>
      <c r="D644" s="4" t="s">
        <v>14</v>
      </c>
      <c r="E644" s="4" t="s">
        <v>15</v>
      </c>
      <c r="F644" s="4" t="s">
        <v>16</v>
      </c>
      <c r="G644" s="5" t="s">
        <v>17</v>
      </c>
      <c r="H644" s="6">
        <v>0.0</v>
      </c>
    </row>
    <row r="645" spans="8:8" ht="23.85" hidden="1">
      <c r="A645" s="2">
        <v>1443.0</v>
      </c>
      <c r="B645" s="3" t="s">
        <v>251</v>
      </c>
      <c r="C645" s="3" t="s">
        <v>9</v>
      </c>
      <c r="D645" s="4" t="s">
        <v>14</v>
      </c>
      <c r="E645" s="4" t="s">
        <v>15</v>
      </c>
      <c r="F645" s="4" t="s">
        <v>16</v>
      </c>
      <c r="G645" s="5" t="s">
        <v>17</v>
      </c>
      <c r="H645" s="6">
        <v>0.0</v>
      </c>
    </row>
    <row r="646" spans="8:8" ht="23.85" hidden="1">
      <c r="A646" s="2">
        <v>1444.0</v>
      </c>
      <c r="B646" s="3" t="s">
        <v>251</v>
      </c>
      <c r="C646" s="3" t="s">
        <v>9</v>
      </c>
      <c r="D646" s="4" t="s">
        <v>14</v>
      </c>
      <c r="E646" s="4" t="s">
        <v>15</v>
      </c>
      <c r="F646" s="4" t="s">
        <v>16</v>
      </c>
      <c r="G646" s="5" t="s">
        <v>17</v>
      </c>
      <c r="H646" s="6">
        <v>0.0</v>
      </c>
    </row>
    <row r="647" spans="8:8" ht="23.85" hidden="1">
      <c r="A647" s="2">
        <v>1445.0</v>
      </c>
      <c r="B647" s="3" t="s">
        <v>251</v>
      </c>
      <c r="C647" s="3" t="s">
        <v>9</v>
      </c>
      <c r="D647" s="4" t="s">
        <v>14</v>
      </c>
      <c r="E647" s="4" t="s">
        <v>15</v>
      </c>
      <c r="F647" s="4" t="s">
        <v>16</v>
      </c>
      <c r="G647" s="5" t="s">
        <v>17</v>
      </c>
      <c r="H647" s="6">
        <v>0.0</v>
      </c>
    </row>
    <row r="648" spans="8:8" ht="23.85" hidden="1">
      <c r="A648" s="2">
        <v>1446.0</v>
      </c>
      <c r="B648" s="3" t="s">
        <v>251</v>
      </c>
      <c r="C648" s="3" t="s">
        <v>9</v>
      </c>
      <c r="D648" s="4" t="s">
        <v>14</v>
      </c>
      <c r="E648" s="4" t="s">
        <v>15</v>
      </c>
      <c r="F648" s="4" t="s">
        <v>16</v>
      </c>
      <c r="G648" s="5" t="s">
        <v>17</v>
      </c>
      <c r="H648" s="6">
        <v>0.0</v>
      </c>
    </row>
    <row r="649" spans="8:8" ht="23.85" hidden="1">
      <c r="A649" s="2">
        <v>1447.0</v>
      </c>
      <c r="B649" s="3" t="s">
        <v>251</v>
      </c>
      <c r="C649" s="3" t="s">
        <v>9</v>
      </c>
      <c r="D649" s="4" t="s">
        <v>14</v>
      </c>
      <c r="E649" s="4" t="s">
        <v>15</v>
      </c>
      <c r="F649" s="4" t="s">
        <v>16</v>
      </c>
      <c r="G649" s="5" t="s">
        <v>17</v>
      </c>
      <c r="H649" s="6">
        <v>0.0</v>
      </c>
    </row>
    <row r="650" spans="8:8" ht="23.85" hidden="1">
      <c r="A650" s="2">
        <v>1448.0</v>
      </c>
      <c r="B650" s="3" t="s">
        <v>251</v>
      </c>
      <c r="C650" s="3" t="s">
        <v>9</v>
      </c>
      <c r="D650" s="4" t="s">
        <v>14</v>
      </c>
      <c r="E650" s="4" t="s">
        <v>15</v>
      </c>
      <c r="F650" s="4" t="s">
        <v>16</v>
      </c>
      <c r="G650" s="5" t="s">
        <v>17</v>
      </c>
      <c r="H650" s="6">
        <v>0.0</v>
      </c>
    </row>
    <row r="651" spans="8:8" ht="23.85" hidden="1">
      <c r="A651" s="2">
        <v>1449.0</v>
      </c>
      <c r="B651" s="3" t="s">
        <v>251</v>
      </c>
      <c r="C651" s="3" t="s">
        <v>9</v>
      </c>
      <c r="D651" s="4" t="s">
        <v>14</v>
      </c>
      <c r="E651" s="4" t="s">
        <v>15</v>
      </c>
      <c r="F651" s="4" t="s">
        <v>16</v>
      </c>
      <c r="G651" s="5" t="s">
        <v>17</v>
      </c>
      <c r="H651" s="6">
        <v>0.0</v>
      </c>
    </row>
    <row r="652" spans="8:8" ht="23.85">
      <c r="A652" s="2">
        <v>1450.0</v>
      </c>
      <c r="B652" s="7" t="s">
        <v>251</v>
      </c>
      <c r="C652" s="7" t="s">
        <v>18</v>
      </c>
      <c r="D652" s="8" t="s">
        <v>333</v>
      </c>
      <c r="E652" s="8" t="s">
        <v>334</v>
      </c>
      <c r="F652" s="8" t="s">
        <v>21</v>
      </c>
      <c r="G652" s="9" t="s">
        <v>335</v>
      </c>
      <c r="H652" s="10">
        <v>3.0</v>
      </c>
    </row>
    <row r="653" spans="8:8" ht="23.85" hidden="1">
      <c r="A653" s="2">
        <v>1451.0</v>
      </c>
      <c r="B653" s="3" t="s">
        <v>251</v>
      </c>
      <c r="C653" s="3" t="s">
        <v>9</v>
      </c>
      <c r="D653" s="4" t="s">
        <v>14</v>
      </c>
      <c r="E653" s="4" t="s">
        <v>15</v>
      </c>
      <c r="F653" s="4" t="s">
        <v>16</v>
      </c>
      <c r="G653" s="5" t="s">
        <v>17</v>
      </c>
      <c r="H653" s="6">
        <v>0.0</v>
      </c>
    </row>
    <row r="654" spans="8:8" ht="23.85" hidden="1">
      <c r="A654" s="2">
        <v>1452.0</v>
      </c>
      <c r="B654" s="3" t="s">
        <v>251</v>
      </c>
      <c r="C654" s="3" t="s">
        <v>9</v>
      </c>
      <c r="D654" s="4" t="s">
        <v>14</v>
      </c>
      <c r="E654" s="4" t="s">
        <v>15</v>
      </c>
      <c r="F654" s="4" t="s">
        <v>16</v>
      </c>
      <c r="G654" s="5" t="s">
        <v>17</v>
      </c>
      <c r="H654" s="6">
        <v>0.0</v>
      </c>
    </row>
    <row r="655" spans="8:8" ht="15.0">
      <c r="A655" s="2">
        <v>1453.0</v>
      </c>
      <c r="B655" s="7" t="s">
        <v>251</v>
      </c>
      <c r="C655" s="7" t="s">
        <v>18</v>
      </c>
      <c r="D655" s="8" t="s">
        <v>336</v>
      </c>
      <c r="E655" s="8" t="s">
        <v>39</v>
      </c>
      <c r="F655" s="8" t="s">
        <v>337</v>
      </c>
      <c r="G655" s="9" t="s">
        <v>338</v>
      </c>
      <c r="H655" s="10">
        <v>3.0</v>
      </c>
    </row>
    <row r="656" spans="8:8" ht="23.85" hidden="1">
      <c r="A656" s="2">
        <v>1454.0</v>
      </c>
      <c r="B656" s="3" t="s">
        <v>251</v>
      </c>
      <c r="C656" s="3" t="s">
        <v>9</v>
      </c>
      <c r="D656" s="4" t="s">
        <v>14</v>
      </c>
      <c r="E656" s="4" t="s">
        <v>15</v>
      </c>
      <c r="F656" s="4" t="s">
        <v>16</v>
      </c>
      <c r="G656" s="5" t="s">
        <v>17</v>
      </c>
      <c r="H656" s="6">
        <v>0.0</v>
      </c>
    </row>
    <row r="657" spans="8:8" ht="23.85" hidden="1">
      <c r="A657" s="2">
        <v>1455.0</v>
      </c>
      <c r="B657" s="3" t="s">
        <v>251</v>
      </c>
      <c r="C657" s="3" t="s">
        <v>9</v>
      </c>
      <c r="D657" s="4" t="s">
        <v>14</v>
      </c>
      <c r="E657" s="4" t="s">
        <v>15</v>
      </c>
      <c r="F657" s="4" t="s">
        <v>16</v>
      </c>
      <c r="G657" s="5" t="s">
        <v>17</v>
      </c>
      <c r="H657" s="6">
        <v>0.0</v>
      </c>
    </row>
    <row r="658" spans="8:8" ht="23.85" hidden="1">
      <c r="A658" s="2">
        <v>1456.0</v>
      </c>
      <c r="B658" s="3" t="s">
        <v>251</v>
      </c>
      <c r="C658" s="3" t="s">
        <v>9</v>
      </c>
      <c r="D658" s="4" t="s">
        <v>14</v>
      </c>
      <c r="E658" s="4" t="s">
        <v>15</v>
      </c>
      <c r="F658" s="4" t="s">
        <v>16</v>
      </c>
      <c r="G658" s="5" t="s">
        <v>17</v>
      </c>
      <c r="H658" s="6">
        <v>0.0</v>
      </c>
    </row>
    <row r="659" spans="8:8" ht="15.0">
      <c r="A659" s="2">
        <v>1457.0</v>
      </c>
      <c r="B659" s="7" t="s">
        <v>251</v>
      </c>
      <c r="C659" s="7" t="s">
        <v>18</v>
      </c>
      <c r="D659" s="8" t="s">
        <v>339</v>
      </c>
      <c r="E659" s="8" t="s">
        <v>318</v>
      </c>
      <c r="F659" s="8" t="s">
        <v>94</v>
      </c>
      <c r="G659" s="9" t="s">
        <v>340</v>
      </c>
      <c r="H659" s="10">
        <v>3.0</v>
      </c>
    </row>
    <row r="660" spans="8:8" ht="23.85" hidden="1">
      <c r="A660" s="2">
        <v>1458.0</v>
      </c>
      <c r="B660" s="3" t="s">
        <v>251</v>
      </c>
      <c r="C660" s="3" t="s">
        <v>9</v>
      </c>
      <c r="D660" s="4" t="s">
        <v>14</v>
      </c>
      <c r="E660" s="4" t="s">
        <v>15</v>
      </c>
      <c r="F660" s="4" t="s">
        <v>16</v>
      </c>
      <c r="G660" s="5" t="s">
        <v>17</v>
      </c>
      <c r="H660" s="6">
        <v>0.0</v>
      </c>
    </row>
    <row r="661" spans="8:8" ht="23.85" hidden="1">
      <c r="A661" s="2">
        <v>1459.0</v>
      </c>
      <c r="B661" s="3" t="s">
        <v>251</v>
      </c>
      <c r="C661" s="3" t="s">
        <v>9</v>
      </c>
      <c r="D661" s="4" t="s">
        <v>14</v>
      </c>
      <c r="E661" s="4" t="s">
        <v>15</v>
      </c>
      <c r="F661" s="4" t="s">
        <v>16</v>
      </c>
      <c r="G661" s="5" t="s">
        <v>17</v>
      </c>
      <c r="H661" s="6">
        <v>0.0</v>
      </c>
    </row>
    <row r="662" spans="8:8" ht="15.0">
      <c r="A662" s="2">
        <v>1460.0</v>
      </c>
      <c r="B662" s="7" t="s">
        <v>251</v>
      </c>
      <c r="C662" s="7" t="s">
        <v>18</v>
      </c>
      <c r="D662" s="8" t="s">
        <v>341</v>
      </c>
      <c r="E662" s="8" t="s">
        <v>318</v>
      </c>
      <c r="F662" s="8" t="s">
        <v>94</v>
      </c>
      <c r="G662" s="9" t="s">
        <v>342</v>
      </c>
      <c r="H662" s="10">
        <v>3.0</v>
      </c>
    </row>
    <row r="663" spans="8:8" ht="23.85" hidden="1">
      <c r="A663" s="2">
        <v>1461.0</v>
      </c>
      <c r="B663" s="3" t="s">
        <v>251</v>
      </c>
      <c r="C663" s="3" t="s">
        <v>9</v>
      </c>
      <c r="D663" s="4" t="s">
        <v>14</v>
      </c>
      <c r="E663" s="4" t="s">
        <v>15</v>
      </c>
      <c r="F663" s="4" t="s">
        <v>16</v>
      </c>
      <c r="G663" s="5" t="s">
        <v>17</v>
      </c>
      <c r="H663" s="6">
        <v>0.0</v>
      </c>
    </row>
    <row r="664" spans="8:8" ht="23.85" hidden="1">
      <c r="A664" s="2">
        <v>1462.0</v>
      </c>
      <c r="B664" s="3" t="s">
        <v>251</v>
      </c>
      <c r="C664" s="3" t="s">
        <v>9</v>
      </c>
      <c r="D664" s="4" t="s">
        <v>14</v>
      </c>
      <c r="E664" s="4" t="s">
        <v>15</v>
      </c>
      <c r="F664" s="4" t="s">
        <v>16</v>
      </c>
      <c r="G664" s="5" t="s">
        <v>17</v>
      </c>
      <c r="H664" s="6">
        <v>0.0</v>
      </c>
    </row>
    <row r="665" spans="8:8" ht="23.85" hidden="1">
      <c r="A665" s="2">
        <v>1463.0</v>
      </c>
      <c r="B665" s="3" t="s">
        <v>251</v>
      </c>
      <c r="C665" s="3" t="s">
        <v>9</v>
      </c>
      <c r="D665" s="4" t="s">
        <v>14</v>
      </c>
      <c r="E665" s="4" t="s">
        <v>15</v>
      </c>
      <c r="F665" s="4" t="s">
        <v>16</v>
      </c>
      <c r="G665" s="5" t="s">
        <v>17</v>
      </c>
      <c r="H665" s="6">
        <v>0.0</v>
      </c>
    </row>
    <row r="666" spans="8:8" ht="23.85" hidden="1">
      <c r="A666" s="2">
        <v>1464.0</v>
      </c>
      <c r="B666" s="3" t="s">
        <v>251</v>
      </c>
      <c r="C666" s="3" t="s">
        <v>9</v>
      </c>
      <c r="D666" s="4" t="s">
        <v>14</v>
      </c>
      <c r="E666" s="4" t="s">
        <v>15</v>
      </c>
      <c r="F666" s="4" t="s">
        <v>16</v>
      </c>
      <c r="G666" s="5" t="s">
        <v>17</v>
      </c>
      <c r="H666" s="6">
        <v>0.0</v>
      </c>
    </row>
    <row r="667" spans="8:8" ht="23.85" hidden="1">
      <c r="A667" s="2">
        <v>1465.0</v>
      </c>
      <c r="B667" s="3" t="s">
        <v>251</v>
      </c>
      <c r="C667" s="3" t="s">
        <v>9</v>
      </c>
      <c r="D667" s="4" t="s">
        <v>14</v>
      </c>
      <c r="E667" s="4" t="s">
        <v>15</v>
      </c>
      <c r="F667" s="4" t="s">
        <v>16</v>
      </c>
      <c r="G667" s="5" t="s">
        <v>17</v>
      </c>
      <c r="H667" s="6">
        <v>0.0</v>
      </c>
    </row>
    <row r="668" spans="8:8" ht="23.85" hidden="1">
      <c r="A668" s="2">
        <v>1466.0</v>
      </c>
      <c r="B668" s="3" t="s">
        <v>251</v>
      </c>
      <c r="C668" s="3" t="s">
        <v>9</v>
      </c>
      <c r="D668" s="4" t="s">
        <v>14</v>
      </c>
      <c r="E668" s="4" t="s">
        <v>15</v>
      </c>
      <c r="F668" s="4" t="s">
        <v>16</v>
      </c>
      <c r="G668" s="5" t="s">
        <v>17</v>
      </c>
      <c r="H668" s="6">
        <v>0.0</v>
      </c>
    </row>
    <row r="669" spans="8:8" ht="23.85" hidden="1">
      <c r="A669" s="2">
        <v>1467.0</v>
      </c>
      <c r="B669" s="3" t="s">
        <v>251</v>
      </c>
      <c r="C669" s="3" t="s">
        <v>9</v>
      </c>
      <c r="D669" s="4" t="s">
        <v>14</v>
      </c>
      <c r="E669" s="4" t="s">
        <v>15</v>
      </c>
      <c r="F669" s="4" t="s">
        <v>16</v>
      </c>
      <c r="G669" s="5" t="s">
        <v>17</v>
      </c>
      <c r="H669" s="6">
        <v>0.0</v>
      </c>
    </row>
    <row r="670" spans="8:8" ht="15.0">
      <c r="A670" s="2">
        <v>1468.0</v>
      </c>
      <c r="B670" s="7" t="s">
        <v>251</v>
      </c>
      <c r="C670" s="7" t="s">
        <v>18</v>
      </c>
      <c r="D670" s="8" t="s">
        <v>343</v>
      </c>
      <c r="E670" s="8" t="s">
        <v>84</v>
      </c>
      <c r="F670" s="8" t="s">
        <v>344</v>
      </c>
      <c r="G670" s="9" t="s">
        <v>345</v>
      </c>
      <c r="H670" s="11">
        <v>2.0</v>
      </c>
    </row>
    <row r="671" spans="8:8" ht="23.85" hidden="1">
      <c r="A671" s="2">
        <v>1469.0</v>
      </c>
      <c r="B671" s="3" t="s">
        <v>251</v>
      </c>
      <c r="C671" s="3" t="s">
        <v>9</v>
      </c>
      <c r="D671" s="4" t="s">
        <v>14</v>
      </c>
      <c r="E671" s="4" t="s">
        <v>15</v>
      </c>
      <c r="F671" s="4" t="s">
        <v>16</v>
      </c>
      <c r="G671" s="5" t="s">
        <v>17</v>
      </c>
      <c r="H671" s="6">
        <v>0.0</v>
      </c>
    </row>
    <row r="672" spans="8:8" ht="23.85">
      <c r="A672" s="2">
        <v>1470.0</v>
      </c>
      <c r="B672" s="7" t="s">
        <v>251</v>
      </c>
      <c r="C672" s="7" t="s">
        <v>18</v>
      </c>
      <c r="D672" s="8" t="s">
        <v>346</v>
      </c>
      <c r="E672" s="8" t="s">
        <v>347</v>
      </c>
      <c r="F672" s="8" t="s">
        <v>348</v>
      </c>
      <c r="G672" s="9" t="s">
        <v>349</v>
      </c>
      <c r="H672" s="11">
        <v>2.0</v>
      </c>
    </row>
    <row r="673" spans="8:8" ht="23.85" hidden="1">
      <c r="A673" s="2">
        <v>1471.0</v>
      </c>
      <c r="B673" s="3" t="s">
        <v>251</v>
      </c>
      <c r="C673" s="3" t="s">
        <v>9</v>
      </c>
      <c r="D673" s="4" t="s">
        <v>14</v>
      </c>
      <c r="E673" s="4" t="s">
        <v>15</v>
      </c>
      <c r="F673" s="4" t="s">
        <v>16</v>
      </c>
      <c r="G673" s="5" t="s">
        <v>17</v>
      </c>
      <c r="H673" s="6">
        <v>0.0</v>
      </c>
    </row>
    <row r="674" spans="8:8" ht="23.85" hidden="1">
      <c r="A674" s="2">
        <v>1472.0</v>
      </c>
      <c r="B674" s="3" t="s">
        <v>251</v>
      </c>
      <c r="C674" s="3" t="s">
        <v>9</v>
      </c>
      <c r="D674" s="4" t="s">
        <v>14</v>
      </c>
      <c r="E674" s="4" t="s">
        <v>15</v>
      </c>
      <c r="F674" s="4" t="s">
        <v>16</v>
      </c>
      <c r="G674" s="5" t="s">
        <v>17</v>
      </c>
      <c r="H674" s="6">
        <v>0.0</v>
      </c>
    </row>
    <row r="675" spans="8:8" ht="23.85" hidden="1">
      <c r="A675" s="2">
        <v>1473.0</v>
      </c>
      <c r="B675" s="3" t="s">
        <v>251</v>
      </c>
      <c r="C675" s="3" t="s">
        <v>9</v>
      </c>
      <c r="D675" s="4" t="s">
        <v>14</v>
      </c>
      <c r="E675" s="4" t="s">
        <v>15</v>
      </c>
      <c r="F675" s="4" t="s">
        <v>16</v>
      </c>
      <c r="G675" s="5" t="s">
        <v>17</v>
      </c>
      <c r="H675" s="6">
        <v>0.0</v>
      </c>
    </row>
    <row r="676" spans="8:8" ht="23.85" hidden="1">
      <c r="A676" s="2">
        <v>1474.0</v>
      </c>
      <c r="B676" s="3" t="s">
        <v>251</v>
      </c>
      <c r="C676" s="3" t="s">
        <v>9</v>
      </c>
      <c r="D676" s="4" t="s">
        <v>14</v>
      </c>
      <c r="E676" s="4" t="s">
        <v>15</v>
      </c>
      <c r="F676" s="4" t="s">
        <v>16</v>
      </c>
      <c r="G676" s="5" t="s">
        <v>17</v>
      </c>
      <c r="H676" s="6">
        <v>0.0</v>
      </c>
    </row>
    <row r="677" spans="8:8" ht="23.85" hidden="1">
      <c r="A677" s="2">
        <v>1475.0</v>
      </c>
      <c r="B677" s="3" t="s">
        <v>251</v>
      </c>
      <c r="C677" s="3" t="s">
        <v>9</v>
      </c>
      <c r="D677" s="4" t="s">
        <v>14</v>
      </c>
      <c r="E677" s="4" t="s">
        <v>15</v>
      </c>
      <c r="F677" s="4" t="s">
        <v>16</v>
      </c>
      <c r="G677" s="5" t="s">
        <v>17</v>
      </c>
      <c r="H677" s="6">
        <v>0.0</v>
      </c>
    </row>
    <row r="678" spans="8:8" ht="23.85" hidden="1">
      <c r="A678" s="2">
        <v>1476.0</v>
      </c>
      <c r="B678" s="3" t="s">
        <v>251</v>
      </c>
      <c r="C678" s="3" t="s">
        <v>9</v>
      </c>
      <c r="D678" s="4" t="s">
        <v>14</v>
      </c>
      <c r="E678" s="4" t="s">
        <v>15</v>
      </c>
      <c r="F678" s="4" t="s">
        <v>16</v>
      </c>
      <c r="G678" s="5" t="s">
        <v>17</v>
      </c>
      <c r="H678" s="6">
        <v>0.0</v>
      </c>
    </row>
    <row r="679" spans="8:8" ht="23.85" hidden="1">
      <c r="A679" s="2">
        <v>1477.0</v>
      </c>
      <c r="B679" s="3" t="s">
        <v>251</v>
      </c>
      <c r="C679" s="3" t="s">
        <v>9</v>
      </c>
      <c r="D679" s="4" t="s">
        <v>14</v>
      </c>
      <c r="E679" s="4" t="s">
        <v>15</v>
      </c>
      <c r="F679" s="4" t="s">
        <v>16</v>
      </c>
      <c r="G679" s="5" t="s">
        <v>17</v>
      </c>
      <c r="H679" s="6">
        <v>0.0</v>
      </c>
    </row>
    <row r="680" spans="8:8" ht="23.85">
      <c r="A680" s="2">
        <v>1478.0</v>
      </c>
      <c r="B680" s="7" t="s">
        <v>251</v>
      </c>
      <c r="C680" s="7" t="s">
        <v>18</v>
      </c>
      <c r="D680" s="8" t="s">
        <v>350</v>
      </c>
      <c r="E680" s="8" t="s">
        <v>351</v>
      </c>
      <c r="F680" s="8" t="s">
        <v>352</v>
      </c>
      <c r="G680" s="9" t="s">
        <v>353</v>
      </c>
      <c r="H680" s="10">
        <v>3.0</v>
      </c>
    </row>
    <row r="681" spans="8:8" ht="23.85" hidden="1">
      <c r="A681" s="2">
        <v>1479.0</v>
      </c>
      <c r="B681" s="3" t="s">
        <v>251</v>
      </c>
      <c r="C681" s="3" t="s">
        <v>9</v>
      </c>
      <c r="D681" s="4" t="s">
        <v>14</v>
      </c>
      <c r="E681" s="4" t="s">
        <v>15</v>
      </c>
      <c r="F681" s="4" t="s">
        <v>16</v>
      </c>
      <c r="G681" s="5" t="s">
        <v>17</v>
      </c>
      <c r="H681" s="6">
        <v>0.0</v>
      </c>
    </row>
    <row r="682" spans="8:8" ht="23.85" hidden="1">
      <c r="A682" s="2">
        <v>1480.0</v>
      </c>
      <c r="B682" s="3" t="s">
        <v>251</v>
      </c>
      <c r="C682" s="3" t="s">
        <v>9</v>
      </c>
      <c r="D682" s="4" t="s">
        <v>14</v>
      </c>
      <c r="E682" s="4" t="s">
        <v>15</v>
      </c>
      <c r="F682" s="4" t="s">
        <v>16</v>
      </c>
      <c r="G682" s="5" t="s">
        <v>17</v>
      </c>
      <c r="H682" s="6">
        <v>0.0</v>
      </c>
    </row>
    <row r="683" spans="8:8" ht="23.85" hidden="1">
      <c r="A683" s="2">
        <v>1481.0</v>
      </c>
      <c r="B683" s="3" t="s">
        <v>251</v>
      </c>
      <c r="C683" s="3" t="s">
        <v>9</v>
      </c>
      <c r="D683" s="4" t="s">
        <v>14</v>
      </c>
      <c r="E683" s="4" t="s">
        <v>15</v>
      </c>
      <c r="F683" s="4" t="s">
        <v>16</v>
      </c>
      <c r="G683" s="5" t="s">
        <v>17</v>
      </c>
      <c r="H683" s="6">
        <v>0.0</v>
      </c>
    </row>
    <row r="684" spans="8:8" ht="23.85" hidden="1">
      <c r="A684" s="2">
        <v>1482.0</v>
      </c>
      <c r="B684" s="3" t="s">
        <v>251</v>
      </c>
      <c r="C684" s="3" t="s">
        <v>9</v>
      </c>
      <c r="D684" s="4" t="s">
        <v>14</v>
      </c>
      <c r="E684" s="4" t="s">
        <v>15</v>
      </c>
      <c r="F684" s="4" t="s">
        <v>16</v>
      </c>
      <c r="G684" s="5" t="s">
        <v>17</v>
      </c>
      <c r="H684" s="6">
        <v>0.0</v>
      </c>
    </row>
    <row r="685" spans="8:8" ht="23.85" hidden="1">
      <c r="A685" s="2">
        <v>1483.0</v>
      </c>
      <c r="B685" s="3" t="s">
        <v>251</v>
      </c>
      <c r="C685" s="3" t="s">
        <v>9</v>
      </c>
      <c r="D685" s="4" t="s">
        <v>14</v>
      </c>
      <c r="E685" s="4" t="s">
        <v>15</v>
      </c>
      <c r="F685" s="4" t="s">
        <v>16</v>
      </c>
      <c r="G685" s="5" t="s">
        <v>17</v>
      </c>
      <c r="H685" s="6">
        <v>0.0</v>
      </c>
    </row>
    <row r="686" spans="8:8" ht="23.85" hidden="1">
      <c r="A686" s="2">
        <v>1484.0</v>
      </c>
      <c r="B686" s="3" t="s">
        <v>251</v>
      </c>
      <c r="C686" s="3" t="s">
        <v>9</v>
      </c>
      <c r="D686" s="4" t="s">
        <v>14</v>
      </c>
      <c r="E686" s="4" t="s">
        <v>15</v>
      </c>
      <c r="F686" s="4" t="s">
        <v>16</v>
      </c>
      <c r="G686" s="5" t="s">
        <v>17</v>
      </c>
      <c r="H686" s="6">
        <v>0.0</v>
      </c>
    </row>
    <row r="687" spans="8:8" ht="23.85">
      <c r="A687" s="2">
        <v>1485.0</v>
      </c>
      <c r="B687" s="7" t="s">
        <v>251</v>
      </c>
      <c r="C687" s="7" t="s">
        <v>18</v>
      </c>
      <c r="D687" s="8" t="s">
        <v>354</v>
      </c>
      <c r="E687" s="8" t="s">
        <v>84</v>
      </c>
      <c r="F687" s="8" t="s">
        <v>271</v>
      </c>
      <c r="G687" s="9" t="s">
        <v>355</v>
      </c>
      <c r="H687" s="10">
        <v>3.0</v>
      </c>
    </row>
    <row r="688" spans="8:8" ht="23.85" hidden="1">
      <c r="A688" s="2">
        <v>1486.0</v>
      </c>
      <c r="B688" s="3" t="s">
        <v>251</v>
      </c>
      <c r="C688" s="3" t="s">
        <v>9</v>
      </c>
      <c r="D688" s="4" t="s">
        <v>14</v>
      </c>
      <c r="E688" s="4" t="s">
        <v>15</v>
      </c>
      <c r="F688" s="4" t="s">
        <v>16</v>
      </c>
      <c r="G688" s="5" t="s">
        <v>17</v>
      </c>
      <c r="H688" s="6">
        <v>0.0</v>
      </c>
    </row>
    <row r="689" spans="8:8" ht="23.85" hidden="1">
      <c r="A689" s="2">
        <v>1487.0</v>
      </c>
      <c r="B689" s="3" t="s">
        <v>251</v>
      </c>
      <c r="C689" s="3" t="s">
        <v>9</v>
      </c>
      <c r="D689" s="4" t="s">
        <v>14</v>
      </c>
      <c r="E689" s="4" t="s">
        <v>15</v>
      </c>
      <c r="F689" s="4" t="s">
        <v>16</v>
      </c>
      <c r="G689" s="5" t="s">
        <v>17</v>
      </c>
      <c r="H689" s="6">
        <v>0.0</v>
      </c>
    </row>
    <row r="690" spans="8:8" ht="23.85" hidden="1">
      <c r="A690" s="2">
        <v>1488.0</v>
      </c>
      <c r="B690" s="3" t="s">
        <v>251</v>
      </c>
      <c r="C690" s="3" t="s">
        <v>9</v>
      </c>
      <c r="D690" s="4" t="s">
        <v>14</v>
      </c>
      <c r="E690" s="4" t="s">
        <v>15</v>
      </c>
      <c r="F690" s="4" t="s">
        <v>16</v>
      </c>
      <c r="G690" s="5" t="s">
        <v>17</v>
      </c>
      <c r="H690" s="6">
        <v>0.0</v>
      </c>
    </row>
    <row r="691" spans="8:8" ht="23.85" hidden="1">
      <c r="A691" s="2">
        <v>1489.0</v>
      </c>
      <c r="B691" s="3" t="s">
        <v>251</v>
      </c>
      <c r="C691" s="3" t="s">
        <v>9</v>
      </c>
      <c r="D691" s="4" t="s">
        <v>14</v>
      </c>
      <c r="E691" s="4" t="s">
        <v>15</v>
      </c>
      <c r="F691" s="4" t="s">
        <v>16</v>
      </c>
      <c r="G691" s="5" t="s">
        <v>17</v>
      </c>
      <c r="H691" s="6">
        <v>0.0</v>
      </c>
    </row>
    <row r="692" spans="8:8" ht="23.85" hidden="1">
      <c r="A692" s="2">
        <v>1490.0</v>
      </c>
      <c r="B692" s="3" t="s">
        <v>251</v>
      </c>
      <c r="C692" s="3" t="s">
        <v>9</v>
      </c>
      <c r="D692" s="4" t="s">
        <v>14</v>
      </c>
      <c r="E692" s="4" t="s">
        <v>15</v>
      </c>
      <c r="F692" s="4" t="s">
        <v>16</v>
      </c>
      <c r="G692" s="5" t="s">
        <v>17</v>
      </c>
      <c r="H692" s="6">
        <v>0.0</v>
      </c>
    </row>
    <row r="693" spans="8:8" ht="23.85" hidden="1">
      <c r="A693" s="2">
        <v>1491.0</v>
      </c>
      <c r="B693" s="3" t="s">
        <v>251</v>
      </c>
      <c r="C693" s="3" t="s">
        <v>9</v>
      </c>
      <c r="D693" s="4" t="s">
        <v>14</v>
      </c>
      <c r="E693" s="4" t="s">
        <v>15</v>
      </c>
      <c r="F693" s="4" t="s">
        <v>16</v>
      </c>
      <c r="G693" s="5" t="s">
        <v>17</v>
      </c>
      <c r="H693" s="6">
        <v>0.0</v>
      </c>
    </row>
    <row r="694" spans="8:8" ht="23.85">
      <c r="A694" s="2">
        <v>1492.0</v>
      </c>
      <c r="B694" s="7" t="s">
        <v>251</v>
      </c>
      <c r="C694" s="7" t="s">
        <v>18</v>
      </c>
      <c r="D694" s="8" t="s">
        <v>356</v>
      </c>
      <c r="E694" s="8" t="s">
        <v>27</v>
      </c>
      <c r="F694" s="8" t="s">
        <v>357</v>
      </c>
      <c r="G694" s="9" t="s">
        <v>358</v>
      </c>
      <c r="H694" s="10">
        <v>3.0</v>
      </c>
    </row>
    <row r="695" spans="8:8" ht="23.85" hidden="1">
      <c r="A695" s="2">
        <v>1493.0</v>
      </c>
      <c r="B695" s="3" t="s">
        <v>251</v>
      </c>
      <c r="C695" s="3" t="s">
        <v>9</v>
      </c>
      <c r="D695" s="4" t="s">
        <v>14</v>
      </c>
      <c r="E695" s="4" t="s">
        <v>15</v>
      </c>
      <c r="F695" s="4" t="s">
        <v>16</v>
      </c>
      <c r="G695" s="5" t="s">
        <v>17</v>
      </c>
      <c r="H695" s="6">
        <v>0.0</v>
      </c>
    </row>
    <row r="696" spans="8:8" ht="35.05">
      <c r="A696" s="2">
        <v>1494.0</v>
      </c>
      <c r="B696" s="7" t="s">
        <v>251</v>
      </c>
      <c r="C696" s="12" t="s">
        <v>18</v>
      </c>
      <c r="D696" s="8" t="s">
        <v>359</v>
      </c>
      <c r="E696" s="8" t="s">
        <v>84</v>
      </c>
      <c r="F696" s="8" t="s">
        <v>360</v>
      </c>
      <c r="G696" s="9" t="s">
        <v>361</v>
      </c>
      <c r="H696" s="13">
        <v>4.0</v>
      </c>
    </row>
    <row r="697" spans="8:8" ht="23.85" hidden="1">
      <c r="A697" s="2">
        <v>1495.0</v>
      </c>
      <c r="B697" s="3" t="s">
        <v>251</v>
      </c>
      <c r="C697" s="3" t="s">
        <v>9</v>
      </c>
      <c r="D697" s="4" t="s">
        <v>14</v>
      </c>
      <c r="E697" s="4" t="s">
        <v>15</v>
      </c>
      <c r="F697" s="4" t="s">
        <v>16</v>
      </c>
      <c r="G697" s="5" t="s">
        <v>17</v>
      </c>
      <c r="H697" s="6">
        <v>0.0</v>
      </c>
    </row>
    <row r="698" spans="8:8" ht="23.85" hidden="1">
      <c r="A698" s="2">
        <v>1496.0</v>
      </c>
      <c r="B698" s="3" t="s">
        <v>251</v>
      </c>
      <c r="C698" s="3" t="s">
        <v>9</v>
      </c>
      <c r="D698" s="4" t="s">
        <v>14</v>
      </c>
      <c r="E698" s="4" t="s">
        <v>15</v>
      </c>
      <c r="F698" s="4" t="s">
        <v>16</v>
      </c>
      <c r="G698" s="5" t="s">
        <v>17</v>
      </c>
      <c r="H698" s="6">
        <v>0.0</v>
      </c>
    </row>
    <row r="699" spans="8:8" ht="23.85" hidden="1">
      <c r="A699" s="2">
        <v>1497.0</v>
      </c>
      <c r="B699" s="3" t="s">
        <v>251</v>
      </c>
      <c r="C699" s="3" t="s">
        <v>9</v>
      </c>
      <c r="D699" s="4" t="s">
        <v>14</v>
      </c>
      <c r="E699" s="4" t="s">
        <v>15</v>
      </c>
      <c r="F699" s="4" t="s">
        <v>16</v>
      </c>
      <c r="G699" s="5" t="s">
        <v>17</v>
      </c>
      <c r="H699" s="6">
        <v>0.0</v>
      </c>
    </row>
    <row r="700" spans="8:8" ht="23.85" hidden="1">
      <c r="A700" s="2">
        <v>1498.0</v>
      </c>
      <c r="B700" s="3" t="s">
        <v>251</v>
      </c>
      <c r="C700" s="3" t="s">
        <v>9</v>
      </c>
      <c r="D700" s="4" t="s">
        <v>14</v>
      </c>
      <c r="E700" s="4" t="s">
        <v>15</v>
      </c>
      <c r="F700" s="4" t="s">
        <v>16</v>
      </c>
      <c r="G700" s="5" t="s">
        <v>17</v>
      </c>
      <c r="H700" s="6">
        <v>0.0</v>
      </c>
    </row>
    <row r="701" spans="8:8" ht="23.85">
      <c r="A701" s="2">
        <v>1499.0</v>
      </c>
      <c r="B701" s="7" t="s">
        <v>251</v>
      </c>
      <c r="C701" s="7" t="s">
        <v>18</v>
      </c>
      <c r="D701" s="8" t="s">
        <v>362</v>
      </c>
      <c r="E701" s="8" t="s">
        <v>285</v>
      </c>
      <c r="F701" s="8" t="s">
        <v>204</v>
      </c>
      <c r="G701" s="9" t="s">
        <v>363</v>
      </c>
      <c r="H701" s="10">
        <v>3.0</v>
      </c>
    </row>
    <row r="702" spans="8:8" ht="23.85" hidden="1">
      <c r="A702" s="2">
        <v>1500.0</v>
      </c>
      <c r="B702" s="3" t="s">
        <v>251</v>
      </c>
      <c r="C702" s="3" t="s">
        <v>9</v>
      </c>
      <c r="D702" s="4" t="s">
        <v>14</v>
      </c>
      <c r="E702" s="4" t="s">
        <v>15</v>
      </c>
      <c r="F702" s="4" t="s">
        <v>16</v>
      </c>
      <c r="G702" s="5" t="s">
        <v>17</v>
      </c>
      <c r="H702" s="6">
        <v>0.0</v>
      </c>
    </row>
    <row r="703" spans="8:8" ht="23.85" hidden="1">
      <c r="A703" s="2">
        <v>1501.0</v>
      </c>
      <c r="B703" s="3" t="s">
        <v>251</v>
      </c>
      <c r="C703" s="3" t="s">
        <v>9</v>
      </c>
      <c r="D703" s="4" t="s">
        <v>14</v>
      </c>
      <c r="E703" s="4" t="s">
        <v>15</v>
      </c>
      <c r="F703" s="4" t="s">
        <v>16</v>
      </c>
      <c r="G703" s="5" t="s">
        <v>17</v>
      </c>
      <c r="H703" s="6">
        <v>0.0</v>
      </c>
    </row>
    <row r="704" spans="8:8" ht="23.85" hidden="1">
      <c r="A704" s="2">
        <v>1502.0</v>
      </c>
      <c r="B704" s="3" t="s">
        <v>251</v>
      </c>
      <c r="C704" s="3" t="s">
        <v>9</v>
      </c>
      <c r="D704" s="4" t="s">
        <v>14</v>
      </c>
      <c r="E704" s="4" t="s">
        <v>15</v>
      </c>
      <c r="F704" s="4" t="s">
        <v>16</v>
      </c>
      <c r="G704" s="5" t="s">
        <v>17</v>
      </c>
      <c r="H704" s="6">
        <v>0.0</v>
      </c>
    </row>
    <row r="705" spans="8:8" ht="23.85" hidden="1">
      <c r="A705" s="2">
        <v>1503.0</v>
      </c>
      <c r="B705" s="3" t="s">
        <v>251</v>
      </c>
      <c r="C705" s="3" t="s">
        <v>9</v>
      </c>
      <c r="D705" s="4" t="s">
        <v>14</v>
      </c>
      <c r="E705" s="4" t="s">
        <v>15</v>
      </c>
      <c r="F705" s="4" t="s">
        <v>16</v>
      </c>
      <c r="G705" s="5" t="s">
        <v>17</v>
      </c>
      <c r="H705" s="6">
        <v>0.0</v>
      </c>
    </row>
    <row r="706" spans="8:8" ht="23.85" hidden="1">
      <c r="A706" s="2">
        <v>1504.0</v>
      </c>
      <c r="B706" s="3" t="s">
        <v>251</v>
      </c>
      <c r="C706" s="3" t="s">
        <v>9</v>
      </c>
      <c r="D706" s="4" t="s">
        <v>14</v>
      </c>
      <c r="E706" s="4" t="s">
        <v>15</v>
      </c>
      <c r="F706" s="4" t="s">
        <v>16</v>
      </c>
      <c r="G706" s="5" t="s">
        <v>17</v>
      </c>
      <c r="H706" s="6">
        <v>0.0</v>
      </c>
    </row>
    <row r="707" spans="8:8" ht="23.85" hidden="1">
      <c r="A707" s="2">
        <v>1505.0</v>
      </c>
      <c r="B707" s="3" t="s">
        <v>251</v>
      </c>
      <c r="C707" s="3" t="s">
        <v>9</v>
      </c>
      <c r="D707" s="4" t="s">
        <v>14</v>
      </c>
      <c r="E707" s="4" t="s">
        <v>15</v>
      </c>
      <c r="F707" s="4" t="s">
        <v>16</v>
      </c>
      <c r="G707" s="5" t="s">
        <v>17</v>
      </c>
      <c r="H707" s="6">
        <v>0.0</v>
      </c>
    </row>
    <row r="708" spans="8:8" ht="23.85" hidden="1">
      <c r="A708" s="2">
        <v>1506.0</v>
      </c>
      <c r="B708" s="3" t="s">
        <v>251</v>
      </c>
      <c r="C708" s="3" t="s">
        <v>9</v>
      </c>
      <c r="D708" s="4" t="s">
        <v>14</v>
      </c>
      <c r="E708" s="4" t="s">
        <v>15</v>
      </c>
      <c r="F708" s="4" t="s">
        <v>16</v>
      </c>
      <c r="G708" s="5" t="s">
        <v>17</v>
      </c>
      <c r="H708" s="6">
        <v>0.0</v>
      </c>
    </row>
    <row r="709" spans="8:8" ht="23.85" hidden="1">
      <c r="A709" s="2">
        <v>1507.0</v>
      </c>
      <c r="B709" s="3" t="s">
        <v>251</v>
      </c>
      <c r="C709" s="3" t="s">
        <v>9</v>
      </c>
      <c r="D709" s="4" t="s">
        <v>14</v>
      </c>
      <c r="E709" s="4" t="s">
        <v>15</v>
      </c>
      <c r="F709" s="4" t="s">
        <v>16</v>
      </c>
      <c r="G709" s="5" t="s">
        <v>17</v>
      </c>
      <c r="H709" s="6">
        <v>0.0</v>
      </c>
    </row>
    <row r="710" spans="8:8" ht="23.85" hidden="1">
      <c r="A710" s="2">
        <v>1508.0</v>
      </c>
      <c r="B710" s="3" t="s">
        <v>251</v>
      </c>
      <c r="C710" s="3" t="s">
        <v>9</v>
      </c>
      <c r="D710" s="4" t="s">
        <v>14</v>
      </c>
      <c r="E710" s="4" t="s">
        <v>15</v>
      </c>
      <c r="F710" s="4" t="s">
        <v>16</v>
      </c>
      <c r="G710" s="5" t="s">
        <v>17</v>
      </c>
      <c r="H710" s="6">
        <v>0.0</v>
      </c>
    </row>
    <row r="711" spans="8:8" ht="23.85" hidden="1">
      <c r="A711" s="2">
        <v>1509.0</v>
      </c>
      <c r="B711" s="3" t="s">
        <v>251</v>
      </c>
      <c r="C711" s="3" t="s">
        <v>9</v>
      </c>
      <c r="D711" s="4" t="s">
        <v>14</v>
      </c>
      <c r="E711" s="4" t="s">
        <v>15</v>
      </c>
      <c r="F711" s="4" t="s">
        <v>16</v>
      </c>
      <c r="G711" s="5" t="s">
        <v>17</v>
      </c>
      <c r="H711" s="6">
        <v>0.0</v>
      </c>
    </row>
    <row r="712" spans="8:8" ht="23.85" hidden="1">
      <c r="A712" s="2">
        <v>1510.0</v>
      </c>
      <c r="B712" s="3" t="s">
        <v>251</v>
      </c>
      <c r="C712" s="3" t="s">
        <v>9</v>
      </c>
      <c r="D712" s="4" t="s">
        <v>14</v>
      </c>
      <c r="E712" s="4" t="s">
        <v>15</v>
      </c>
      <c r="F712" s="4" t="s">
        <v>16</v>
      </c>
      <c r="G712" s="5" t="s">
        <v>17</v>
      </c>
      <c r="H712" s="6">
        <v>0.0</v>
      </c>
    </row>
    <row r="713" spans="8:8" ht="23.85" hidden="1">
      <c r="A713" s="2">
        <v>1511.0</v>
      </c>
      <c r="B713" s="3" t="s">
        <v>251</v>
      </c>
      <c r="C713" s="3" t="s">
        <v>9</v>
      </c>
      <c r="D713" s="4" t="s">
        <v>14</v>
      </c>
      <c r="E713" s="4" t="s">
        <v>15</v>
      </c>
      <c r="F713" s="4" t="s">
        <v>16</v>
      </c>
      <c r="G713" s="5" t="s">
        <v>17</v>
      </c>
      <c r="H713" s="6">
        <v>0.0</v>
      </c>
    </row>
    <row r="714" spans="8:8" ht="23.85" hidden="1">
      <c r="A714" s="2">
        <v>1512.0</v>
      </c>
      <c r="B714" s="3" t="s">
        <v>251</v>
      </c>
      <c r="C714" s="3" t="s">
        <v>9</v>
      </c>
      <c r="D714" s="4" t="s">
        <v>14</v>
      </c>
      <c r="E714" s="4" t="s">
        <v>15</v>
      </c>
      <c r="F714" s="4" t="s">
        <v>16</v>
      </c>
      <c r="G714" s="5" t="s">
        <v>17</v>
      </c>
      <c r="H714" s="6">
        <v>0.0</v>
      </c>
    </row>
    <row r="715" spans="8:8" ht="23.85" hidden="1">
      <c r="A715" s="2">
        <v>1513.0</v>
      </c>
      <c r="B715" s="3" t="s">
        <v>251</v>
      </c>
      <c r="C715" s="3" t="s">
        <v>9</v>
      </c>
      <c r="D715" s="4" t="s">
        <v>14</v>
      </c>
      <c r="E715" s="4" t="s">
        <v>15</v>
      </c>
      <c r="F715" s="4" t="s">
        <v>16</v>
      </c>
      <c r="G715" s="5" t="s">
        <v>17</v>
      </c>
      <c r="H715" s="6">
        <v>0.0</v>
      </c>
    </row>
    <row r="716" spans="8:8" ht="23.85" hidden="1">
      <c r="A716" s="2">
        <v>1514.0</v>
      </c>
      <c r="B716" s="3" t="s">
        <v>251</v>
      </c>
      <c r="C716" s="3" t="s">
        <v>9</v>
      </c>
      <c r="D716" s="4" t="s">
        <v>14</v>
      </c>
      <c r="E716" s="4" t="s">
        <v>15</v>
      </c>
      <c r="F716" s="4" t="s">
        <v>16</v>
      </c>
      <c r="G716" s="5" t="s">
        <v>17</v>
      </c>
      <c r="H716" s="6">
        <v>0.0</v>
      </c>
    </row>
    <row r="717" spans="8:8" ht="23.85" hidden="1">
      <c r="A717" s="2">
        <v>1515.0</v>
      </c>
      <c r="B717" s="3" t="s">
        <v>251</v>
      </c>
      <c r="C717" s="3" t="s">
        <v>9</v>
      </c>
      <c r="D717" s="4" t="s">
        <v>14</v>
      </c>
      <c r="E717" s="4" t="s">
        <v>15</v>
      </c>
      <c r="F717" s="4" t="s">
        <v>16</v>
      </c>
      <c r="G717" s="5" t="s">
        <v>17</v>
      </c>
      <c r="H717" s="6">
        <v>0.0</v>
      </c>
    </row>
    <row r="718" spans="8:8" ht="23.85" hidden="1">
      <c r="A718" s="2">
        <v>1516.0</v>
      </c>
      <c r="B718" s="3" t="s">
        <v>251</v>
      </c>
      <c r="C718" s="3" t="s">
        <v>9</v>
      </c>
      <c r="D718" s="4" t="s">
        <v>14</v>
      </c>
      <c r="E718" s="4" t="s">
        <v>15</v>
      </c>
      <c r="F718" s="4" t="s">
        <v>16</v>
      </c>
      <c r="G718" s="5" t="s">
        <v>17</v>
      </c>
      <c r="H718" s="6">
        <v>0.0</v>
      </c>
    </row>
    <row r="719" spans="8:8" ht="23.85" hidden="1">
      <c r="A719" s="2">
        <v>1517.0</v>
      </c>
      <c r="B719" s="3" t="s">
        <v>251</v>
      </c>
      <c r="C719" s="3" t="s">
        <v>9</v>
      </c>
      <c r="D719" s="4" t="s">
        <v>14</v>
      </c>
      <c r="E719" s="4" t="s">
        <v>15</v>
      </c>
      <c r="F719" s="4" t="s">
        <v>16</v>
      </c>
      <c r="G719" s="5" t="s">
        <v>17</v>
      </c>
      <c r="H719" s="6">
        <v>0.0</v>
      </c>
    </row>
    <row r="720" spans="8:8" ht="23.85" hidden="1">
      <c r="A720" s="2">
        <v>1518.0</v>
      </c>
      <c r="B720" s="3" t="s">
        <v>251</v>
      </c>
      <c r="C720" s="3" t="s">
        <v>9</v>
      </c>
      <c r="D720" s="4" t="s">
        <v>14</v>
      </c>
      <c r="E720" s="4" t="s">
        <v>15</v>
      </c>
      <c r="F720" s="4" t="s">
        <v>16</v>
      </c>
      <c r="G720" s="5" t="s">
        <v>17</v>
      </c>
      <c r="H720" s="6">
        <v>0.0</v>
      </c>
    </row>
    <row r="721" spans="8:8" ht="35.05">
      <c r="A721" s="2">
        <v>1519.0</v>
      </c>
      <c r="B721" s="7" t="s">
        <v>251</v>
      </c>
      <c r="C721" s="7" t="s">
        <v>18</v>
      </c>
      <c r="D721" s="8" t="s">
        <v>364</v>
      </c>
      <c r="E721" s="8" t="s">
        <v>365</v>
      </c>
      <c r="F721" s="8" t="s">
        <v>366</v>
      </c>
      <c r="G721" s="9" t="s">
        <v>367</v>
      </c>
      <c r="H721" s="11">
        <v>2.0</v>
      </c>
    </row>
    <row r="722" spans="8:8" ht="23.85" hidden="1">
      <c r="A722" s="2">
        <v>1520.0</v>
      </c>
      <c r="B722" s="3" t="s">
        <v>251</v>
      </c>
      <c r="C722" s="3" t="s">
        <v>9</v>
      </c>
      <c r="D722" s="4" t="s">
        <v>14</v>
      </c>
      <c r="E722" s="4" t="s">
        <v>15</v>
      </c>
      <c r="F722" s="4" t="s">
        <v>16</v>
      </c>
      <c r="G722" s="5" t="s">
        <v>17</v>
      </c>
      <c r="H722" s="6">
        <v>0.0</v>
      </c>
    </row>
    <row r="723" spans="8:8" ht="23.85" hidden="1">
      <c r="A723" s="2">
        <v>1521.0</v>
      </c>
      <c r="B723" s="3" t="s">
        <v>251</v>
      </c>
      <c r="C723" s="3" t="s">
        <v>9</v>
      </c>
      <c r="D723" s="4" t="s">
        <v>14</v>
      </c>
      <c r="E723" s="4" t="s">
        <v>15</v>
      </c>
      <c r="F723" s="4" t="s">
        <v>16</v>
      </c>
      <c r="G723" s="5" t="s">
        <v>17</v>
      </c>
      <c r="H723" s="6">
        <v>0.0</v>
      </c>
    </row>
    <row r="724" spans="8:8" ht="23.85" hidden="1">
      <c r="A724" s="2">
        <v>1522.0</v>
      </c>
      <c r="B724" s="3" t="s">
        <v>251</v>
      </c>
      <c r="C724" s="3" t="s">
        <v>9</v>
      </c>
      <c r="D724" s="4" t="s">
        <v>14</v>
      </c>
      <c r="E724" s="4" t="s">
        <v>15</v>
      </c>
      <c r="F724" s="4" t="s">
        <v>16</v>
      </c>
      <c r="G724" s="5" t="s">
        <v>17</v>
      </c>
      <c r="H724" s="6">
        <v>0.0</v>
      </c>
    </row>
    <row r="725" spans="8:8" ht="23.85">
      <c r="A725" s="2">
        <v>1523.0</v>
      </c>
      <c r="B725" s="7" t="s">
        <v>251</v>
      </c>
      <c r="C725" s="7" t="s">
        <v>18</v>
      </c>
      <c r="D725" s="8" t="s">
        <v>368</v>
      </c>
      <c r="E725" s="8" t="s">
        <v>369</v>
      </c>
      <c r="F725" s="8" t="s">
        <v>370</v>
      </c>
      <c r="G725" s="9" t="s">
        <v>371</v>
      </c>
      <c r="H725" s="14">
        <v>1.0</v>
      </c>
    </row>
    <row r="726" spans="8:8" ht="23.85" hidden="1">
      <c r="A726" s="2">
        <v>1524.0</v>
      </c>
      <c r="B726" s="3" t="s">
        <v>251</v>
      </c>
      <c r="C726" s="3" t="s">
        <v>9</v>
      </c>
      <c r="D726" s="4" t="s">
        <v>14</v>
      </c>
      <c r="E726" s="4" t="s">
        <v>15</v>
      </c>
      <c r="F726" s="4" t="s">
        <v>16</v>
      </c>
      <c r="G726" s="5" t="s">
        <v>17</v>
      </c>
      <c r="H726" s="6">
        <v>0.0</v>
      </c>
    </row>
    <row r="727" spans="8:8" ht="23.85">
      <c r="A727" s="2">
        <v>1525.0</v>
      </c>
      <c r="B727" s="7" t="s">
        <v>251</v>
      </c>
      <c r="C727" s="7" t="s">
        <v>18</v>
      </c>
      <c r="D727" s="8" t="s">
        <v>372</v>
      </c>
      <c r="E727" s="8" t="s">
        <v>373</v>
      </c>
      <c r="F727" s="8" t="s">
        <v>370</v>
      </c>
      <c r="G727" s="9" t="s">
        <v>374</v>
      </c>
      <c r="H727" s="11">
        <v>2.0</v>
      </c>
    </row>
    <row r="728" spans="8:8" ht="23.85" hidden="1">
      <c r="A728" s="2">
        <v>1526.0</v>
      </c>
      <c r="B728" s="3" t="s">
        <v>251</v>
      </c>
      <c r="C728" s="3" t="s">
        <v>9</v>
      </c>
      <c r="D728" s="4" t="s">
        <v>14</v>
      </c>
      <c r="E728" s="4" t="s">
        <v>15</v>
      </c>
      <c r="F728" s="4" t="s">
        <v>16</v>
      </c>
      <c r="G728" s="5" t="s">
        <v>17</v>
      </c>
      <c r="H728" s="6">
        <v>0.0</v>
      </c>
    </row>
    <row r="729" spans="8:8" ht="23.85">
      <c r="A729" s="2">
        <v>1527.0</v>
      </c>
      <c r="B729" s="7" t="s">
        <v>251</v>
      </c>
      <c r="C729" s="7" t="s">
        <v>18</v>
      </c>
      <c r="D729" s="8" t="s">
        <v>375</v>
      </c>
      <c r="E729" s="8" t="s">
        <v>39</v>
      </c>
      <c r="F729" s="8" t="s">
        <v>376</v>
      </c>
      <c r="G729" s="9" t="s">
        <v>377</v>
      </c>
      <c r="H729" s="10">
        <v>3.0</v>
      </c>
    </row>
    <row r="730" spans="8:8" ht="23.85" hidden="1">
      <c r="A730" s="2">
        <v>1528.0</v>
      </c>
      <c r="B730" s="3" t="s">
        <v>251</v>
      </c>
      <c r="C730" s="3" t="s">
        <v>9</v>
      </c>
      <c r="D730" s="4" t="s">
        <v>14</v>
      </c>
      <c r="E730" s="4" t="s">
        <v>15</v>
      </c>
      <c r="F730" s="4" t="s">
        <v>16</v>
      </c>
      <c r="G730" s="5" t="s">
        <v>17</v>
      </c>
      <c r="H730" s="6">
        <v>0.0</v>
      </c>
    </row>
    <row r="731" spans="8:8" ht="35.05">
      <c r="A731" s="2">
        <v>1529.0</v>
      </c>
      <c r="B731" s="7" t="s">
        <v>251</v>
      </c>
      <c r="C731" s="7" t="s">
        <v>18</v>
      </c>
      <c r="D731" s="8" t="s">
        <v>378</v>
      </c>
      <c r="E731" s="8" t="s">
        <v>379</v>
      </c>
      <c r="F731" s="8" t="s">
        <v>380</v>
      </c>
      <c r="G731" s="9" t="s">
        <v>381</v>
      </c>
      <c r="H731" s="10">
        <v>3.0</v>
      </c>
    </row>
    <row r="732" spans="8:8" ht="23.85" hidden="1">
      <c r="A732" s="2">
        <v>1530.0</v>
      </c>
      <c r="B732" s="3" t="s">
        <v>251</v>
      </c>
      <c r="C732" s="3" t="s">
        <v>9</v>
      </c>
      <c r="D732" s="4" t="s">
        <v>14</v>
      </c>
      <c r="E732" s="4" t="s">
        <v>15</v>
      </c>
      <c r="F732" s="4" t="s">
        <v>16</v>
      </c>
      <c r="G732" s="5" t="s">
        <v>17</v>
      </c>
      <c r="H732" s="6">
        <v>0.0</v>
      </c>
    </row>
    <row r="733" spans="8:8" ht="23.85" hidden="1">
      <c r="A733" s="2">
        <v>1531.0</v>
      </c>
      <c r="B733" s="3" t="s">
        <v>251</v>
      </c>
      <c r="C733" s="3" t="s">
        <v>9</v>
      </c>
      <c r="D733" s="4" t="s">
        <v>14</v>
      </c>
      <c r="E733" s="4" t="s">
        <v>15</v>
      </c>
      <c r="F733" s="4" t="s">
        <v>16</v>
      </c>
      <c r="G733" s="5" t="s">
        <v>17</v>
      </c>
      <c r="H733" s="6">
        <v>0.0</v>
      </c>
    </row>
    <row r="734" spans="8:8" ht="23.85" hidden="1">
      <c r="A734" s="2">
        <v>1532.0</v>
      </c>
      <c r="B734" s="3" t="s">
        <v>251</v>
      </c>
      <c r="C734" s="3" t="s">
        <v>9</v>
      </c>
      <c r="D734" s="4" t="s">
        <v>14</v>
      </c>
      <c r="E734" s="4" t="s">
        <v>15</v>
      </c>
      <c r="F734" s="4" t="s">
        <v>16</v>
      </c>
      <c r="G734" s="5" t="s">
        <v>17</v>
      </c>
      <c r="H734" s="6">
        <v>0.0</v>
      </c>
    </row>
    <row r="735" spans="8:8" ht="23.85" hidden="1">
      <c r="A735" s="2">
        <v>1533.0</v>
      </c>
      <c r="B735" s="3" t="s">
        <v>251</v>
      </c>
      <c r="C735" s="3" t="s">
        <v>9</v>
      </c>
      <c r="D735" s="4" t="s">
        <v>14</v>
      </c>
      <c r="E735" s="4" t="s">
        <v>15</v>
      </c>
      <c r="F735" s="4" t="s">
        <v>16</v>
      </c>
      <c r="G735" s="5" t="s">
        <v>17</v>
      </c>
      <c r="H735" s="6">
        <v>0.0</v>
      </c>
    </row>
    <row r="736" spans="8:8" ht="23.85" hidden="1">
      <c r="A736" s="2">
        <v>1534.0</v>
      </c>
      <c r="B736" s="3" t="s">
        <v>251</v>
      </c>
      <c r="C736" s="3" t="s">
        <v>9</v>
      </c>
      <c r="D736" s="4" t="s">
        <v>14</v>
      </c>
      <c r="E736" s="4" t="s">
        <v>15</v>
      </c>
      <c r="F736" s="4" t="s">
        <v>16</v>
      </c>
      <c r="G736" s="5" t="s">
        <v>17</v>
      </c>
      <c r="H736" s="6">
        <v>0.0</v>
      </c>
    </row>
    <row r="737" spans="8:8" ht="23.85" hidden="1">
      <c r="A737" s="2">
        <v>1535.0</v>
      </c>
      <c r="B737" s="3" t="s">
        <v>251</v>
      </c>
      <c r="C737" s="3" t="s">
        <v>9</v>
      </c>
      <c r="D737" s="4" t="s">
        <v>14</v>
      </c>
      <c r="E737" s="4" t="s">
        <v>15</v>
      </c>
      <c r="F737" s="4" t="s">
        <v>16</v>
      </c>
      <c r="G737" s="5" t="s">
        <v>17</v>
      </c>
      <c r="H737" s="6">
        <v>0.0</v>
      </c>
    </row>
    <row r="738" spans="8:8" ht="23.85" hidden="1">
      <c r="A738" s="2">
        <v>1536.0</v>
      </c>
      <c r="B738" s="3" t="s">
        <v>251</v>
      </c>
      <c r="C738" s="3" t="s">
        <v>9</v>
      </c>
      <c r="D738" s="4" t="s">
        <v>14</v>
      </c>
      <c r="E738" s="4" t="s">
        <v>15</v>
      </c>
      <c r="F738" s="4" t="s">
        <v>16</v>
      </c>
      <c r="G738" s="5" t="s">
        <v>17</v>
      </c>
      <c r="H738" s="6">
        <v>0.0</v>
      </c>
    </row>
    <row r="739" spans="8:8" ht="23.85" hidden="1">
      <c r="A739" s="2">
        <v>1537.0</v>
      </c>
      <c r="B739" s="3" t="s">
        <v>251</v>
      </c>
      <c r="C739" s="3" t="s">
        <v>9</v>
      </c>
      <c r="D739" s="4" t="s">
        <v>14</v>
      </c>
      <c r="E739" s="4" t="s">
        <v>15</v>
      </c>
      <c r="F739" s="4" t="s">
        <v>16</v>
      </c>
      <c r="G739" s="5" t="s">
        <v>17</v>
      </c>
      <c r="H739" s="6">
        <v>0.0</v>
      </c>
    </row>
    <row r="740" spans="8:8" ht="23.85" hidden="1">
      <c r="A740" s="2">
        <v>1538.0</v>
      </c>
      <c r="B740" s="3" t="s">
        <v>251</v>
      </c>
      <c r="C740" s="3" t="s">
        <v>9</v>
      </c>
      <c r="D740" s="4" t="s">
        <v>14</v>
      </c>
      <c r="E740" s="4" t="s">
        <v>15</v>
      </c>
      <c r="F740" s="4" t="s">
        <v>16</v>
      </c>
      <c r="G740" s="5" t="s">
        <v>17</v>
      </c>
      <c r="H740" s="6">
        <v>0.0</v>
      </c>
    </row>
    <row r="741" spans="8:8" ht="23.85" hidden="1">
      <c r="A741" s="2">
        <v>1539.0</v>
      </c>
      <c r="B741" s="3" t="s">
        <v>251</v>
      </c>
      <c r="C741" s="3" t="s">
        <v>9</v>
      </c>
      <c r="D741" s="4" t="s">
        <v>14</v>
      </c>
      <c r="E741" s="4" t="s">
        <v>15</v>
      </c>
      <c r="F741" s="4" t="s">
        <v>16</v>
      </c>
      <c r="G741" s="5" t="s">
        <v>17</v>
      </c>
      <c r="H741" s="6">
        <v>0.0</v>
      </c>
    </row>
    <row r="742" spans="8:8" ht="23.85">
      <c r="A742" s="2">
        <v>1540.0</v>
      </c>
      <c r="B742" s="7" t="s">
        <v>251</v>
      </c>
      <c r="C742" s="7" t="s">
        <v>18</v>
      </c>
      <c r="D742" s="8" t="s">
        <v>382</v>
      </c>
      <c r="E742" s="8" t="s">
        <v>143</v>
      </c>
      <c r="F742" s="8" t="s">
        <v>94</v>
      </c>
      <c r="G742" s="9" t="s">
        <v>383</v>
      </c>
      <c r="H742" s="11">
        <v>2.0</v>
      </c>
    </row>
    <row r="743" spans="8:8" ht="23.85" hidden="1">
      <c r="A743" s="2">
        <v>1541.0</v>
      </c>
      <c r="B743" s="3" t="s">
        <v>251</v>
      </c>
      <c r="C743" s="3" t="s">
        <v>9</v>
      </c>
      <c r="D743" s="4" t="s">
        <v>14</v>
      </c>
      <c r="E743" s="4" t="s">
        <v>15</v>
      </c>
      <c r="F743" s="4" t="s">
        <v>16</v>
      </c>
      <c r="G743" s="5" t="s">
        <v>17</v>
      </c>
      <c r="H743" s="6">
        <v>0.0</v>
      </c>
    </row>
    <row r="744" spans="8:8" ht="23.85" hidden="1">
      <c r="A744" s="2">
        <v>1542.0</v>
      </c>
      <c r="B744" s="3" t="s">
        <v>251</v>
      </c>
      <c r="C744" s="3" t="s">
        <v>9</v>
      </c>
      <c r="D744" s="4" t="s">
        <v>14</v>
      </c>
      <c r="E744" s="4" t="s">
        <v>15</v>
      </c>
      <c r="F744" s="4" t="s">
        <v>16</v>
      </c>
      <c r="G744" s="5" t="s">
        <v>17</v>
      </c>
      <c r="H744" s="6">
        <v>0.0</v>
      </c>
    </row>
    <row r="745" spans="8:8" ht="23.85" hidden="1">
      <c r="A745" s="2">
        <v>1543.0</v>
      </c>
      <c r="B745" s="3" t="s">
        <v>251</v>
      </c>
      <c r="C745" s="3" t="s">
        <v>9</v>
      </c>
      <c r="D745" s="4" t="s">
        <v>14</v>
      </c>
      <c r="E745" s="4" t="s">
        <v>15</v>
      </c>
      <c r="F745" s="4" t="s">
        <v>16</v>
      </c>
      <c r="G745" s="5" t="s">
        <v>17</v>
      </c>
      <c r="H745" s="6">
        <v>0.0</v>
      </c>
    </row>
    <row r="746" spans="8:8" ht="23.85">
      <c r="A746" s="2">
        <v>1544.0</v>
      </c>
      <c r="B746" s="7" t="s">
        <v>251</v>
      </c>
      <c r="C746" s="12" t="s">
        <v>18</v>
      </c>
      <c r="D746" s="8" t="s">
        <v>384</v>
      </c>
      <c r="E746" s="8" t="s">
        <v>89</v>
      </c>
      <c r="F746" s="8" t="s">
        <v>69</v>
      </c>
      <c r="G746" s="9" t="s">
        <v>385</v>
      </c>
      <c r="H746" s="13">
        <v>4.0</v>
      </c>
    </row>
    <row r="747" spans="8:8" ht="23.85" hidden="1">
      <c r="A747" s="2">
        <v>1545.0</v>
      </c>
      <c r="B747" s="3" t="s">
        <v>251</v>
      </c>
      <c r="C747" s="3" t="s">
        <v>9</v>
      </c>
      <c r="D747" s="4" t="s">
        <v>14</v>
      </c>
      <c r="E747" s="4" t="s">
        <v>15</v>
      </c>
      <c r="F747" s="4" t="s">
        <v>16</v>
      </c>
      <c r="G747" s="5" t="s">
        <v>17</v>
      </c>
      <c r="H747" s="6">
        <v>0.0</v>
      </c>
    </row>
    <row r="748" spans="8:8" ht="15.0">
      <c r="A748" s="2">
        <v>1546.0</v>
      </c>
      <c r="B748" s="7" t="s">
        <v>251</v>
      </c>
      <c r="C748" s="12" t="s">
        <v>18</v>
      </c>
      <c r="D748" s="8" t="s">
        <v>386</v>
      </c>
      <c r="E748" s="8" t="s">
        <v>89</v>
      </c>
      <c r="F748" s="8" t="s">
        <v>69</v>
      </c>
      <c r="G748" s="9" t="s">
        <v>387</v>
      </c>
      <c r="H748" s="13">
        <v>4.0</v>
      </c>
    </row>
    <row r="749" spans="8:8" ht="23.85" hidden="1">
      <c r="A749" s="2">
        <v>1547.0</v>
      </c>
      <c r="B749" s="3" t="s">
        <v>251</v>
      </c>
      <c r="C749" s="3" t="s">
        <v>9</v>
      </c>
      <c r="D749" s="4" t="s">
        <v>14</v>
      </c>
      <c r="E749" s="4" t="s">
        <v>15</v>
      </c>
      <c r="F749" s="4" t="s">
        <v>16</v>
      </c>
      <c r="G749" s="5" t="s">
        <v>17</v>
      </c>
      <c r="H749" s="6">
        <v>0.0</v>
      </c>
    </row>
    <row r="750" spans="8:8" ht="23.85" hidden="1">
      <c r="A750" s="2">
        <v>1548.0</v>
      </c>
      <c r="B750" s="3" t="s">
        <v>251</v>
      </c>
      <c r="C750" s="3" t="s">
        <v>9</v>
      </c>
      <c r="D750" s="4" t="s">
        <v>14</v>
      </c>
      <c r="E750" s="4" t="s">
        <v>15</v>
      </c>
      <c r="F750" s="4" t="s">
        <v>16</v>
      </c>
      <c r="G750" s="5" t="s">
        <v>17</v>
      </c>
      <c r="H750" s="6">
        <v>0.0</v>
      </c>
    </row>
    <row r="751" spans="8:8" ht="23.85">
      <c r="A751" s="2">
        <v>1549.0</v>
      </c>
      <c r="B751" s="7" t="s">
        <v>251</v>
      </c>
      <c r="C751" s="12" t="s">
        <v>18</v>
      </c>
      <c r="D751" s="8" t="s">
        <v>388</v>
      </c>
      <c r="E751" s="8" t="s">
        <v>389</v>
      </c>
      <c r="F751" s="8" t="s">
        <v>69</v>
      </c>
      <c r="G751" s="9" t="s">
        <v>390</v>
      </c>
      <c r="H751" s="13">
        <v>4.0</v>
      </c>
    </row>
    <row r="752" spans="8:8" ht="23.85" hidden="1">
      <c r="A752" s="2">
        <v>1550.0</v>
      </c>
      <c r="B752" s="3" t="s">
        <v>251</v>
      </c>
      <c r="C752" s="3" t="s">
        <v>9</v>
      </c>
      <c r="D752" s="4" t="s">
        <v>14</v>
      </c>
      <c r="E752" s="4" t="s">
        <v>15</v>
      </c>
      <c r="F752" s="4" t="s">
        <v>16</v>
      </c>
      <c r="G752" s="5" t="s">
        <v>17</v>
      </c>
      <c r="H752" s="6">
        <v>0.0</v>
      </c>
    </row>
    <row r="753" spans="8:8" ht="23.85">
      <c r="A753" s="2">
        <v>1551.0</v>
      </c>
      <c r="B753" s="7" t="s">
        <v>251</v>
      </c>
      <c r="C753" s="12" t="s">
        <v>18</v>
      </c>
      <c r="D753" s="8" t="s">
        <v>391</v>
      </c>
      <c r="E753" s="8" t="s">
        <v>392</v>
      </c>
      <c r="F753" s="8" t="s">
        <v>69</v>
      </c>
      <c r="G753" s="9" t="s">
        <v>393</v>
      </c>
      <c r="H753" s="13">
        <v>4.0</v>
      </c>
    </row>
    <row r="754" spans="8:8" ht="15.0">
      <c r="A754" s="2">
        <v>1552.0</v>
      </c>
      <c r="B754" s="7" t="s">
        <v>251</v>
      </c>
      <c r="C754" s="7" t="s">
        <v>18</v>
      </c>
      <c r="D754" s="8" t="s">
        <v>394</v>
      </c>
      <c r="E754" s="8" t="s">
        <v>268</v>
      </c>
      <c r="F754" s="8" t="s">
        <v>395</v>
      </c>
      <c r="G754" s="9" t="s">
        <v>396</v>
      </c>
      <c r="H754" s="10">
        <v>3.0</v>
      </c>
    </row>
    <row r="755" spans="8:8" ht="23.85" hidden="1">
      <c r="A755" s="2">
        <v>1553.0</v>
      </c>
      <c r="B755" s="3" t="s">
        <v>251</v>
      </c>
      <c r="C755" s="3" t="s">
        <v>9</v>
      </c>
      <c r="D755" s="4" t="s">
        <v>14</v>
      </c>
      <c r="E755" s="4" t="s">
        <v>15</v>
      </c>
      <c r="F755" s="4" t="s">
        <v>16</v>
      </c>
      <c r="G755" s="5" t="s">
        <v>17</v>
      </c>
      <c r="H755" s="6">
        <v>0.0</v>
      </c>
    </row>
    <row r="756" spans="8:8" ht="23.85" hidden="1">
      <c r="A756" s="2">
        <v>1554.0</v>
      </c>
      <c r="B756" s="3" t="s">
        <v>251</v>
      </c>
      <c r="C756" s="3" t="s">
        <v>9</v>
      </c>
      <c r="D756" s="4" t="s">
        <v>14</v>
      </c>
      <c r="E756" s="4" t="s">
        <v>15</v>
      </c>
      <c r="F756" s="4" t="s">
        <v>16</v>
      </c>
      <c r="G756" s="5" t="s">
        <v>17</v>
      </c>
      <c r="H756" s="6">
        <v>0.0</v>
      </c>
    </row>
    <row r="757" spans="8:8" ht="23.85" hidden="1">
      <c r="A757" s="2">
        <v>1555.0</v>
      </c>
      <c r="B757" s="3" t="s">
        <v>251</v>
      </c>
      <c r="C757" s="3" t="s">
        <v>9</v>
      </c>
      <c r="D757" s="4" t="s">
        <v>14</v>
      </c>
      <c r="E757" s="4" t="s">
        <v>15</v>
      </c>
      <c r="F757" s="4" t="s">
        <v>16</v>
      </c>
      <c r="G757" s="5" t="s">
        <v>17</v>
      </c>
      <c r="H757" s="6">
        <v>0.0</v>
      </c>
    </row>
    <row r="758" spans="8:8" ht="23.85" hidden="1">
      <c r="A758" s="2">
        <v>1556.0</v>
      </c>
      <c r="B758" s="3" t="s">
        <v>251</v>
      </c>
      <c r="C758" s="3" t="s">
        <v>9</v>
      </c>
      <c r="D758" s="4" t="s">
        <v>14</v>
      </c>
      <c r="E758" s="4" t="s">
        <v>15</v>
      </c>
      <c r="F758" s="4" t="s">
        <v>16</v>
      </c>
      <c r="G758" s="5" t="s">
        <v>17</v>
      </c>
      <c r="H758" s="6">
        <v>0.0</v>
      </c>
    </row>
    <row r="759" spans="8:8" ht="23.85">
      <c r="A759" s="2">
        <v>1557.0</v>
      </c>
      <c r="B759" s="7" t="s">
        <v>251</v>
      </c>
      <c r="C759" s="12" t="s">
        <v>18</v>
      </c>
      <c r="D759" s="8" t="s">
        <v>397</v>
      </c>
      <c r="E759" s="8" t="s">
        <v>60</v>
      </c>
      <c r="F759" s="8" t="s">
        <v>398</v>
      </c>
      <c r="G759" s="9" t="s">
        <v>399</v>
      </c>
      <c r="H759" s="15">
        <v>5.0</v>
      </c>
    </row>
    <row r="760" spans="8:8" ht="23.85">
      <c r="A760" s="2">
        <v>1558.0</v>
      </c>
      <c r="B760" s="7" t="s">
        <v>251</v>
      </c>
      <c r="C760" s="12" t="s">
        <v>18</v>
      </c>
      <c r="D760" s="8" t="s">
        <v>400</v>
      </c>
      <c r="E760" s="8" t="s">
        <v>285</v>
      </c>
      <c r="F760" s="8" t="s">
        <v>401</v>
      </c>
      <c r="G760" s="9" t="s">
        <v>402</v>
      </c>
      <c r="H760" s="13">
        <v>4.0</v>
      </c>
    </row>
    <row r="761" spans="8:8" ht="23.85" hidden="1">
      <c r="A761" s="2">
        <v>1559.0</v>
      </c>
      <c r="B761" s="3" t="s">
        <v>251</v>
      </c>
      <c r="C761" s="3" t="s">
        <v>9</v>
      </c>
      <c r="D761" s="4" t="s">
        <v>14</v>
      </c>
      <c r="E761" s="4" t="s">
        <v>15</v>
      </c>
      <c r="F761" s="4" t="s">
        <v>16</v>
      </c>
      <c r="G761" s="5" t="s">
        <v>17</v>
      </c>
      <c r="H761" s="6">
        <v>0.0</v>
      </c>
    </row>
    <row r="762" spans="8:8" ht="23.85">
      <c r="A762" s="2">
        <v>1560.0</v>
      </c>
      <c r="B762" s="7" t="s">
        <v>251</v>
      </c>
      <c r="C762" s="7" t="s">
        <v>18</v>
      </c>
      <c r="D762" s="8" t="s">
        <v>403</v>
      </c>
      <c r="E762" s="8" t="s">
        <v>125</v>
      </c>
      <c r="F762" s="8" t="s">
        <v>69</v>
      </c>
      <c r="G762" s="9" t="s">
        <v>404</v>
      </c>
      <c r="H762" s="14">
        <v>1.0</v>
      </c>
    </row>
    <row r="763" spans="8:8" ht="23.85" hidden="1">
      <c r="A763" s="2">
        <v>1561.0</v>
      </c>
      <c r="B763" s="3" t="s">
        <v>251</v>
      </c>
      <c r="C763" s="3" t="s">
        <v>9</v>
      </c>
      <c r="D763" s="4" t="s">
        <v>14</v>
      </c>
      <c r="E763" s="4" t="s">
        <v>15</v>
      </c>
      <c r="F763" s="4" t="s">
        <v>16</v>
      </c>
      <c r="G763" s="5" t="s">
        <v>17</v>
      </c>
      <c r="H763" s="6">
        <v>0.0</v>
      </c>
    </row>
    <row r="764" spans="8:8" ht="23.85" hidden="1">
      <c r="A764" s="2">
        <v>1562.0</v>
      </c>
      <c r="B764" s="3" t="s">
        <v>251</v>
      </c>
      <c r="C764" s="3" t="s">
        <v>9</v>
      </c>
      <c r="D764" s="4" t="s">
        <v>14</v>
      </c>
      <c r="E764" s="4" t="s">
        <v>15</v>
      </c>
      <c r="F764" s="4" t="s">
        <v>16</v>
      </c>
      <c r="G764" s="5" t="s">
        <v>17</v>
      </c>
      <c r="H764" s="6">
        <v>0.0</v>
      </c>
    </row>
    <row r="765" spans="8:8" ht="23.85" hidden="1">
      <c r="A765" s="2">
        <v>1563.0</v>
      </c>
      <c r="B765" s="3" t="s">
        <v>251</v>
      </c>
      <c r="C765" s="3" t="s">
        <v>9</v>
      </c>
      <c r="D765" s="4" t="s">
        <v>14</v>
      </c>
      <c r="E765" s="4" t="s">
        <v>15</v>
      </c>
      <c r="F765" s="4" t="s">
        <v>16</v>
      </c>
      <c r="G765" s="5" t="s">
        <v>17</v>
      </c>
      <c r="H765" s="6">
        <v>0.0</v>
      </c>
    </row>
    <row r="766" spans="8:8" ht="23.85" hidden="1">
      <c r="A766" s="2">
        <v>1564.0</v>
      </c>
      <c r="B766" s="3" t="s">
        <v>251</v>
      </c>
      <c r="C766" s="3" t="s">
        <v>9</v>
      </c>
      <c r="D766" s="4" t="s">
        <v>14</v>
      </c>
      <c r="E766" s="4" t="s">
        <v>15</v>
      </c>
      <c r="F766" s="4" t="s">
        <v>16</v>
      </c>
      <c r="G766" s="5" t="s">
        <v>17</v>
      </c>
      <c r="H766" s="6">
        <v>0.0</v>
      </c>
    </row>
    <row r="767" spans="8:8" ht="23.85" hidden="1">
      <c r="A767" s="2">
        <v>1565.0</v>
      </c>
      <c r="B767" s="3" t="s">
        <v>251</v>
      </c>
      <c r="C767" s="3" t="s">
        <v>9</v>
      </c>
      <c r="D767" s="4" t="s">
        <v>14</v>
      </c>
      <c r="E767" s="4" t="s">
        <v>15</v>
      </c>
      <c r="F767" s="4" t="s">
        <v>16</v>
      </c>
      <c r="G767" s="5" t="s">
        <v>17</v>
      </c>
      <c r="H767" s="6">
        <v>0.0</v>
      </c>
    </row>
    <row r="768" spans="8:8" ht="15.0">
      <c r="A768" s="2">
        <v>1566.0</v>
      </c>
      <c r="B768" s="7" t="s">
        <v>251</v>
      </c>
      <c r="C768" s="7" t="s">
        <v>18</v>
      </c>
      <c r="D768" s="8" t="s">
        <v>405</v>
      </c>
      <c r="E768" s="8" t="s">
        <v>406</v>
      </c>
      <c r="F768" s="8" t="s">
        <v>407</v>
      </c>
      <c r="G768" s="9" t="s">
        <v>408</v>
      </c>
      <c r="H768" s="10">
        <v>3.0</v>
      </c>
    </row>
    <row r="769" spans="8:8" ht="23.85" hidden="1">
      <c r="A769" s="2">
        <v>1567.0</v>
      </c>
      <c r="B769" s="3" t="s">
        <v>251</v>
      </c>
      <c r="C769" s="3" t="s">
        <v>9</v>
      </c>
      <c r="D769" s="4" t="s">
        <v>14</v>
      </c>
      <c r="E769" s="4" t="s">
        <v>15</v>
      </c>
      <c r="F769" s="4" t="s">
        <v>16</v>
      </c>
      <c r="G769" s="5" t="s">
        <v>17</v>
      </c>
      <c r="H769" s="6">
        <v>0.0</v>
      </c>
    </row>
    <row r="770" spans="8:8" ht="23.85">
      <c r="A770" s="2">
        <v>1568.0</v>
      </c>
      <c r="B770" s="7" t="s">
        <v>251</v>
      </c>
      <c r="C770" s="7" t="s">
        <v>18</v>
      </c>
      <c r="D770" s="8" t="s">
        <v>409</v>
      </c>
      <c r="E770" s="8" t="s">
        <v>27</v>
      </c>
      <c r="F770" s="8" t="s">
        <v>410</v>
      </c>
      <c r="G770" s="9" t="s">
        <v>411</v>
      </c>
      <c r="H770" s="10">
        <v>3.0</v>
      </c>
    </row>
    <row r="771" spans="8:8" ht="23.85" hidden="1">
      <c r="A771" s="2">
        <v>1569.0</v>
      </c>
      <c r="B771" s="3" t="s">
        <v>251</v>
      </c>
      <c r="C771" s="3" t="s">
        <v>9</v>
      </c>
      <c r="D771" s="4" t="s">
        <v>14</v>
      </c>
      <c r="E771" s="4" t="s">
        <v>15</v>
      </c>
      <c r="F771" s="4" t="s">
        <v>16</v>
      </c>
      <c r="G771" s="5" t="s">
        <v>17</v>
      </c>
      <c r="H771" s="6">
        <v>0.0</v>
      </c>
    </row>
    <row r="772" spans="8:8" ht="23.85" hidden="1">
      <c r="A772" s="2">
        <v>1570.0</v>
      </c>
      <c r="B772" s="3" t="s">
        <v>251</v>
      </c>
      <c r="C772" s="3" t="s">
        <v>9</v>
      </c>
      <c r="D772" s="4" t="s">
        <v>14</v>
      </c>
      <c r="E772" s="4" t="s">
        <v>15</v>
      </c>
      <c r="F772" s="4" t="s">
        <v>16</v>
      </c>
      <c r="G772" s="5" t="s">
        <v>17</v>
      </c>
      <c r="H772" s="6">
        <v>0.0</v>
      </c>
    </row>
    <row r="773" spans="8:8" ht="23.85" hidden="1">
      <c r="A773" s="2">
        <v>1571.0</v>
      </c>
      <c r="B773" s="3" t="s">
        <v>251</v>
      </c>
      <c r="C773" s="3" t="s">
        <v>9</v>
      </c>
      <c r="D773" s="4" t="s">
        <v>14</v>
      </c>
      <c r="E773" s="4" t="s">
        <v>15</v>
      </c>
      <c r="F773" s="4" t="s">
        <v>16</v>
      </c>
      <c r="G773" s="5" t="s">
        <v>17</v>
      </c>
      <c r="H773" s="6">
        <v>0.0</v>
      </c>
    </row>
    <row r="774" spans="8:8" ht="23.85" hidden="1">
      <c r="A774" s="2">
        <v>1572.0</v>
      </c>
      <c r="B774" s="3" t="s">
        <v>251</v>
      </c>
      <c r="C774" s="3" t="s">
        <v>9</v>
      </c>
      <c r="D774" s="4" t="s">
        <v>14</v>
      </c>
      <c r="E774" s="4" t="s">
        <v>15</v>
      </c>
      <c r="F774" s="4" t="s">
        <v>16</v>
      </c>
      <c r="G774" s="5" t="s">
        <v>17</v>
      </c>
      <c r="H774" s="6">
        <v>0.0</v>
      </c>
    </row>
    <row r="775" spans="8:8" ht="23.85" hidden="1">
      <c r="A775" s="2">
        <v>1573.0</v>
      </c>
      <c r="B775" s="3" t="s">
        <v>251</v>
      </c>
      <c r="C775" s="3" t="s">
        <v>9</v>
      </c>
      <c r="D775" s="4" t="s">
        <v>14</v>
      </c>
      <c r="E775" s="4" t="s">
        <v>15</v>
      </c>
      <c r="F775" s="4" t="s">
        <v>16</v>
      </c>
      <c r="G775" s="5" t="s">
        <v>17</v>
      </c>
      <c r="H775" s="6">
        <v>0.0</v>
      </c>
    </row>
    <row r="776" spans="8:8" ht="23.85" hidden="1">
      <c r="A776" s="2">
        <v>1574.0</v>
      </c>
      <c r="B776" s="3" t="s">
        <v>251</v>
      </c>
      <c r="C776" s="3" t="s">
        <v>9</v>
      </c>
      <c r="D776" s="4" t="s">
        <v>14</v>
      </c>
      <c r="E776" s="4" t="s">
        <v>15</v>
      </c>
      <c r="F776" s="4" t="s">
        <v>16</v>
      </c>
      <c r="G776" s="5" t="s">
        <v>17</v>
      </c>
      <c r="H776" s="6">
        <v>0.0</v>
      </c>
    </row>
    <row r="777" spans="8:8" ht="23.85">
      <c r="A777" s="2">
        <v>1575.0</v>
      </c>
      <c r="B777" s="7" t="s">
        <v>251</v>
      </c>
      <c r="C777" s="12" t="s">
        <v>18</v>
      </c>
      <c r="D777" s="8" t="s">
        <v>412</v>
      </c>
      <c r="E777" s="8" t="s">
        <v>60</v>
      </c>
      <c r="F777" s="8" t="s">
        <v>413</v>
      </c>
      <c r="G777" s="9" t="s">
        <v>414</v>
      </c>
      <c r="H777" s="13">
        <v>4.0</v>
      </c>
    </row>
    <row r="778" spans="8:8" ht="23.85">
      <c r="A778" s="2">
        <v>1576.0</v>
      </c>
      <c r="B778" s="7" t="s">
        <v>251</v>
      </c>
      <c r="C778" s="12" t="s">
        <v>18</v>
      </c>
      <c r="D778" s="8" t="s">
        <v>415</v>
      </c>
      <c r="E778" s="8" t="s">
        <v>416</v>
      </c>
      <c r="F778" s="8" t="s">
        <v>417</v>
      </c>
      <c r="G778" s="9" t="s">
        <v>418</v>
      </c>
      <c r="H778" s="15">
        <v>5.0</v>
      </c>
    </row>
    <row r="779" spans="8:8" ht="23.85" hidden="1">
      <c r="A779" s="2">
        <v>1577.0</v>
      </c>
      <c r="B779" s="3" t="s">
        <v>251</v>
      </c>
      <c r="C779" s="3" t="s">
        <v>9</v>
      </c>
      <c r="D779" s="4" t="s">
        <v>14</v>
      </c>
      <c r="E779" s="4" t="s">
        <v>15</v>
      </c>
      <c r="F779" s="4" t="s">
        <v>16</v>
      </c>
      <c r="G779" s="5" t="s">
        <v>17</v>
      </c>
      <c r="H779" s="6">
        <v>0.0</v>
      </c>
    </row>
    <row r="780" spans="8:8" ht="23.85" hidden="1">
      <c r="A780" s="2">
        <v>1578.0</v>
      </c>
      <c r="B780" s="3" t="s">
        <v>251</v>
      </c>
      <c r="C780" s="3" t="s">
        <v>9</v>
      </c>
      <c r="D780" s="4" t="s">
        <v>14</v>
      </c>
      <c r="E780" s="4" t="s">
        <v>15</v>
      </c>
      <c r="F780" s="4" t="s">
        <v>16</v>
      </c>
      <c r="G780" s="5" t="s">
        <v>17</v>
      </c>
      <c r="H780" s="6">
        <v>0.0</v>
      </c>
    </row>
    <row r="781" spans="8:8" ht="23.85" hidden="1">
      <c r="A781" s="2">
        <v>1579.0</v>
      </c>
      <c r="B781" s="3" t="s">
        <v>251</v>
      </c>
      <c r="C781" s="3" t="s">
        <v>9</v>
      </c>
      <c r="D781" s="4" t="s">
        <v>14</v>
      </c>
      <c r="E781" s="4" t="s">
        <v>15</v>
      </c>
      <c r="F781" s="4" t="s">
        <v>16</v>
      </c>
      <c r="G781" s="5" t="s">
        <v>17</v>
      </c>
      <c r="H781" s="6">
        <v>0.0</v>
      </c>
    </row>
    <row r="782" spans="8:8" ht="23.85" hidden="1">
      <c r="A782" s="2">
        <v>1580.0</v>
      </c>
      <c r="B782" s="3" t="s">
        <v>251</v>
      </c>
      <c r="C782" s="3" t="s">
        <v>9</v>
      </c>
      <c r="D782" s="4" t="s">
        <v>14</v>
      </c>
      <c r="E782" s="4" t="s">
        <v>15</v>
      </c>
      <c r="F782" s="4" t="s">
        <v>16</v>
      </c>
      <c r="G782" s="5" t="s">
        <v>17</v>
      </c>
      <c r="H782" s="6">
        <v>0.0</v>
      </c>
    </row>
    <row r="783" spans="8:8" ht="23.85" hidden="1">
      <c r="A783" s="2">
        <v>1581.0</v>
      </c>
      <c r="B783" s="3" t="s">
        <v>251</v>
      </c>
      <c r="C783" s="3" t="s">
        <v>9</v>
      </c>
      <c r="D783" s="4" t="s">
        <v>14</v>
      </c>
      <c r="E783" s="4" t="s">
        <v>15</v>
      </c>
      <c r="F783" s="4" t="s">
        <v>16</v>
      </c>
      <c r="G783" s="5" t="s">
        <v>17</v>
      </c>
      <c r="H783" s="6">
        <v>0.0</v>
      </c>
    </row>
    <row r="784" spans="8:8" ht="23.85" hidden="1">
      <c r="A784" s="2">
        <v>1582.0</v>
      </c>
      <c r="B784" s="3" t="s">
        <v>251</v>
      </c>
      <c r="C784" s="3" t="s">
        <v>9</v>
      </c>
      <c r="D784" s="4" t="s">
        <v>14</v>
      </c>
      <c r="E784" s="4" t="s">
        <v>15</v>
      </c>
      <c r="F784" s="4" t="s">
        <v>16</v>
      </c>
      <c r="G784" s="5" t="s">
        <v>17</v>
      </c>
      <c r="H784" s="6">
        <v>0.0</v>
      </c>
    </row>
    <row r="785" spans="8:8" ht="23.85" hidden="1">
      <c r="A785" s="2">
        <v>1583.0</v>
      </c>
      <c r="B785" s="3" t="s">
        <v>251</v>
      </c>
      <c r="C785" s="3" t="s">
        <v>9</v>
      </c>
      <c r="D785" s="4" t="s">
        <v>14</v>
      </c>
      <c r="E785" s="4" t="s">
        <v>15</v>
      </c>
      <c r="F785" s="4" t="s">
        <v>16</v>
      </c>
      <c r="G785" s="5" t="s">
        <v>17</v>
      </c>
      <c r="H785" s="6">
        <v>0.0</v>
      </c>
    </row>
    <row r="786" spans="8:8" ht="15.0">
      <c r="A786" s="2">
        <v>1584.0</v>
      </c>
      <c r="B786" s="7" t="s">
        <v>251</v>
      </c>
      <c r="C786" s="7" t="s">
        <v>18</v>
      </c>
      <c r="D786" s="8" t="s">
        <v>419</v>
      </c>
      <c r="E786" s="8" t="s">
        <v>84</v>
      </c>
      <c r="F786" s="8" t="s">
        <v>204</v>
      </c>
      <c r="G786" s="9" t="s">
        <v>420</v>
      </c>
      <c r="H786" s="10">
        <v>3.0</v>
      </c>
    </row>
    <row r="787" spans="8:8" ht="23.85">
      <c r="A787" s="2">
        <v>1585.0</v>
      </c>
      <c r="B787" s="7" t="s">
        <v>251</v>
      </c>
      <c r="C787" s="12" t="s">
        <v>18</v>
      </c>
      <c r="D787" s="8" t="s">
        <v>421</v>
      </c>
      <c r="E787" s="8" t="s">
        <v>248</v>
      </c>
      <c r="F787" s="8" t="s">
        <v>407</v>
      </c>
      <c r="G787" s="9" t="s">
        <v>422</v>
      </c>
      <c r="H787" s="13">
        <v>4.0</v>
      </c>
    </row>
    <row r="788" spans="8:8" ht="23.85" hidden="1">
      <c r="A788" s="2">
        <v>1586.0</v>
      </c>
      <c r="B788" s="3" t="s">
        <v>251</v>
      </c>
      <c r="C788" s="3" t="s">
        <v>9</v>
      </c>
      <c r="D788" s="4" t="s">
        <v>14</v>
      </c>
      <c r="E788" s="4" t="s">
        <v>15</v>
      </c>
      <c r="F788" s="4" t="s">
        <v>16</v>
      </c>
      <c r="G788" s="5" t="s">
        <v>17</v>
      </c>
      <c r="H788" s="6">
        <v>0.0</v>
      </c>
    </row>
    <row r="789" spans="8:8" ht="23.85" hidden="1">
      <c r="A789" s="2">
        <v>1587.0</v>
      </c>
      <c r="B789" s="3" t="s">
        <v>251</v>
      </c>
      <c r="C789" s="3" t="s">
        <v>9</v>
      </c>
      <c r="D789" s="4" t="s">
        <v>14</v>
      </c>
      <c r="E789" s="4" t="s">
        <v>15</v>
      </c>
      <c r="F789" s="4" t="s">
        <v>16</v>
      </c>
      <c r="G789" s="5" t="s">
        <v>17</v>
      </c>
      <c r="H789" s="6">
        <v>0.0</v>
      </c>
    </row>
    <row r="790" spans="8:8" ht="23.85" hidden="1">
      <c r="A790" s="2">
        <v>1588.0</v>
      </c>
      <c r="B790" s="3" t="s">
        <v>251</v>
      </c>
      <c r="C790" s="3" t="s">
        <v>9</v>
      </c>
      <c r="D790" s="4" t="s">
        <v>14</v>
      </c>
      <c r="E790" s="4" t="s">
        <v>15</v>
      </c>
      <c r="F790" s="4" t="s">
        <v>16</v>
      </c>
      <c r="G790" s="5" t="s">
        <v>17</v>
      </c>
      <c r="H790" s="6">
        <v>0.0</v>
      </c>
    </row>
    <row r="791" spans="8:8" ht="23.85" hidden="1">
      <c r="A791" s="2">
        <v>1589.0</v>
      </c>
      <c r="B791" s="3" t="s">
        <v>251</v>
      </c>
      <c r="C791" s="3" t="s">
        <v>9</v>
      </c>
      <c r="D791" s="4" t="s">
        <v>14</v>
      </c>
      <c r="E791" s="4" t="s">
        <v>15</v>
      </c>
      <c r="F791" s="4" t="s">
        <v>16</v>
      </c>
      <c r="G791" s="5" t="s">
        <v>17</v>
      </c>
      <c r="H791" s="6">
        <v>0.0</v>
      </c>
    </row>
    <row r="792" spans="8:8" ht="15.0">
      <c r="A792" s="2">
        <v>1590.0</v>
      </c>
      <c r="B792" s="7" t="s">
        <v>251</v>
      </c>
      <c r="C792" s="7" t="s">
        <v>18</v>
      </c>
      <c r="D792" s="8" t="s">
        <v>423</v>
      </c>
      <c r="E792" s="8" t="s">
        <v>93</v>
      </c>
      <c r="F792" s="8" t="s">
        <v>424</v>
      </c>
      <c r="G792" s="9" t="s">
        <v>425</v>
      </c>
      <c r="H792" s="11">
        <v>2.0</v>
      </c>
    </row>
    <row r="793" spans="8:8" ht="23.85" hidden="1">
      <c r="A793" s="2">
        <v>1591.0</v>
      </c>
      <c r="B793" s="3" t="s">
        <v>251</v>
      </c>
      <c r="C793" s="3" t="s">
        <v>9</v>
      </c>
      <c r="D793" s="4" t="s">
        <v>14</v>
      </c>
      <c r="E793" s="4" t="s">
        <v>15</v>
      </c>
      <c r="F793" s="4" t="s">
        <v>16</v>
      </c>
      <c r="G793" s="5" t="s">
        <v>17</v>
      </c>
      <c r="H793" s="6">
        <v>0.0</v>
      </c>
    </row>
    <row r="794" spans="8:8" ht="23.85" hidden="1">
      <c r="A794" s="2">
        <v>1592.0</v>
      </c>
      <c r="B794" s="3" t="s">
        <v>251</v>
      </c>
      <c r="C794" s="3" t="s">
        <v>9</v>
      </c>
      <c r="D794" s="4" t="s">
        <v>14</v>
      </c>
      <c r="E794" s="4" t="s">
        <v>15</v>
      </c>
      <c r="F794" s="4" t="s">
        <v>16</v>
      </c>
      <c r="G794" s="5" t="s">
        <v>17</v>
      </c>
      <c r="H794" s="6">
        <v>0.0</v>
      </c>
    </row>
    <row r="795" spans="8:8" ht="23.85" hidden="1">
      <c r="A795" s="2">
        <v>1593.0</v>
      </c>
      <c r="B795" s="3" t="s">
        <v>251</v>
      </c>
      <c r="C795" s="3" t="s">
        <v>9</v>
      </c>
      <c r="D795" s="4" t="s">
        <v>14</v>
      </c>
      <c r="E795" s="4" t="s">
        <v>15</v>
      </c>
      <c r="F795" s="4" t="s">
        <v>16</v>
      </c>
      <c r="G795" s="5" t="s">
        <v>17</v>
      </c>
      <c r="H795" s="6">
        <v>0.0</v>
      </c>
    </row>
    <row r="796" spans="8:8" ht="23.85" hidden="1">
      <c r="A796" s="2">
        <v>1594.0</v>
      </c>
      <c r="B796" s="3" t="s">
        <v>251</v>
      </c>
      <c r="C796" s="3" t="s">
        <v>9</v>
      </c>
      <c r="D796" s="4" t="s">
        <v>14</v>
      </c>
      <c r="E796" s="4" t="s">
        <v>15</v>
      </c>
      <c r="F796" s="4" t="s">
        <v>16</v>
      </c>
      <c r="G796" s="5" t="s">
        <v>17</v>
      </c>
      <c r="H796" s="6">
        <v>0.0</v>
      </c>
    </row>
    <row r="797" spans="8:8" ht="23.85" hidden="1">
      <c r="A797" s="2">
        <v>1595.0</v>
      </c>
      <c r="B797" s="3" t="s">
        <v>251</v>
      </c>
      <c r="C797" s="3" t="s">
        <v>9</v>
      </c>
      <c r="D797" s="4" t="s">
        <v>14</v>
      </c>
      <c r="E797" s="4" t="s">
        <v>15</v>
      </c>
      <c r="F797" s="4" t="s">
        <v>16</v>
      </c>
      <c r="G797" s="5" t="s">
        <v>17</v>
      </c>
      <c r="H797" s="6">
        <v>0.0</v>
      </c>
    </row>
    <row r="798" spans="8:8" ht="15.0">
      <c r="A798" s="2">
        <v>1596.0</v>
      </c>
      <c r="B798" s="7" t="s">
        <v>251</v>
      </c>
      <c r="C798" s="12" t="s">
        <v>18</v>
      </c>
      <c r="D798" s="8" t="s">
        <v>426</v>
      </c>
      <c r="E798" s="8" t="s">
        <v>60</v>
      </c>
      <c r="F798" s="8" t="s">
        <v>357</v>
      </c>
      <c r="G798" s="9" t="s">
        <v>427</v>
      </c>
      <c r="H798" s="13">
        <v>4.0</v>
      </c>
    </row>
    <row r="799" spans="8:8" ht="23.85">
      <c r="A799" s="2">
        <v>1597.0</v>
      </c>
      <c r="B799" s="7" t="s">
        <v>251</v>
      </c>
      <c r="C799" s="7" t="s">
        <v>18</v>
      </c>
      <c r="D799" s="8" t="s">
        <v>428</v>
      </c>
      <c r="E799" s="8" t="s">
        <v>429</v>
      </c>
      <c r="F799" s="8" t="s">
        <v>413</v>
      </c>
      <c r="G799" s="9" t="s">
        <v>430</v>
      </c>
      <c r="H799" s="10">
        <v>3.0</v>
      </c>
    </row>
    <row r="800" spans="8:8" ht="23.85" hidden="1">
      <c r="A800" s="2">
        <v>1598.0</v>
      </c>
      <c r="B800" s="3" t="s">
        <v>251</v>
      </c>
      <c r="C800" s="3" t="s">
        <v>9</v>
      </c>
      <c r="D800" s="4" t="s">
        <v>14</v>
      </c>
      <c r="E800" s="4" t="s">
        <v>15</v>
      </c>
      <c r="F800" s="4" t="s">
        <v>16</v>
      </c>
      <c r="G800" s="5" t="s">
        <v>17</v>
      </c>
      <c r="H800" s="6">
        <v>0.0</v>
      </c>
    </row>
    <row r="801" spans="8:8" ht="23.85" hidden="1">
      <c r="A801" s="2">
        <v>1599.0</v>
      </c>
      <c r="B801" s="3" t="s">
        <v>251</v>
      </c>
      <c r="C801" s="3" t="s">
        <v>9</v>
      </c>
      <c r="D801" s="4" t="s">
        <v>14</v>
      </c>
      <c r="E801" s="4" t="s">
        <v>15</v>
      </c>
      <c r="F801" s="4" t="s">
        <v>16</v>
      </c>
      <c r="G801" s="5" t="s">
        <v>17</v>
      </c>
      <c r="H801" s="6">
        <v>0.0</v>
      </c>
    </row>
    <row r="802" spans="8:8" ht="23.85" hidden="1">
      <c r="A802" s="2">
        <v>1600.0</v>
      </c>
      <c r="B802" s="3" t="s">
        <v>251</v>
      </c>
      <c r="C802" s="3" t="s">
        <v>9</v>
      </c>
      <c r="D802" s="4" t="s">
        <v>14</v>
      </c>
      <c r="E802" s="4" t="s">
        <v>15</v>
      </c>
      <c r="F802" s="4" t="s">
        <v>16</v>
      </c>
      <c r="G802" s="5" t="s">
        <v>17</v>
      </c>
      <c r="H802" s="6">
        <v>0.0</v>
      </c>
    </row>
    <row r="803" spans="8:8" ht="23.85" hidden="1">
      <c r="A803" s="2">
        <v>1601.0</v>
      </c>
      <c r="B803" s="3" t="s">
        <v>431</v>
      </c>
      <c r="C803" s="3" t="s">
        <v>9</v>
      </c>
      <c r="D803" s="4" t="s">
        <v>14</v>
      </c>
      <c r="E803" s="4" t="s">
        <v>15</v>
      </c>
      <c r="F803" s="4" t="s">
        <v>16</v>
      </c>
      <c r="G803" s="5" t="s">
        <v>17</v>
      </c>
      <c r="H803" s="6">
        <v>0.0</v>
      </c>
    </row>
    <row r="804" spans="8:8" ht="23.85" hidden="1">
      <c r="A804" s="2">
        <v>1602.0</v>
      </c>
      <c r="B804" s="3" t="s">
        <v>431</v>
      </c>
      <c r="C804" s="3" t="s">
        <v>9</v>
      </c>
      <c r="D804" s="4" t="s">
        <v>14</v>
      </c>
      <c r="E804" s="4" t="s">
        <v>15</v>
      </c>
      <c r="F804" s="4" t="s">
        <v>16</v>
      </c>
      <c r="G804" s="5" t="s">
        <v>17</v>
      </c>
      <c r="H804" s="6">
        <v>0.0</v>
      </c>
    </row>
    <row r="805" spans="8:8" ht="23.85" hidden="1">
      <c r="A805" s="2">
        <v>1603.0</v>
      </c>
      <c r="B805" s="3" t="s">
        <v>431</v>
      </c>
      <c r="C805" s="3" t="s">
        <v>9</v>
      </c>
      <c r="D805" s="4" t="s">
        <v>14</v>
      </c>
      <c r="E805" s="4" t="s">
        <v>15</v>
      </c>
      <c r="F805" s="4" t="s">
        <v>16</v>
      </c>
      <c r="G805" s="5" t="s">
        <v>17</v>
      </c>
      <c r="H805" s="6">
        <v>0.0</v>
      </c>
    </row>
    <row r="806" spans="8:8" ht="23.85" hidden="1">
      <c r="A806" s="2">
        <v>1604.0</v>
      </c>
      <c r="B806" s="3" t="s">
        <v>431</v>
      </c>
      <c r="C806" s="3" t="s">
        <v>9</v>
      </c>
      <c r="D806" s="4" t="s">
        <v>14</v>
      </c>
      <c r="E806" s="4" t="s">
        <v>15</v>
      </c>
      <c r="F806" s="4" t="s">
        <v>16</v>
      </c>
      <c r="G806" s="5" t="s">
        <v>17</v>
      </c>
      <c r="H806" s="6">
        <v>0.0</v>
      </c>
    </row>
    <row r="807" spans="8:8" ht="23.85" hidden="1">
      <c r="A807" s="2">
        <v>1605.0</v>
      </c>
      <c r="B807" s="3" t="s">
        <v>431</v>
      </c>
      <c r="C807" s="3" t="s">
        <v>9</v>
      </c>
      <c r="D807" s="4" t="s">
        <v>14</v>
      </c>
      <c r="E807" s="4" t="s">
        <v>15</v>
      </c>
      <c r="F807" s="4" t="s">
        <v>16</v>
      </c>
      <c r="G807" s="5" t="s">
        <v>17</v>
      </c>
      <c r="H807" s="6">
        <v>0.0</v>
      </c>
    </row>
    <row r="808" spans="8:8" ht="23.85" hidden="1">
      <c r="A808" s="2">
        <v>1606.0</v>
      </c>
      <c r="B808" s="3" t="s">
        <v>431</v>
      </c>
      <c r="C808" s="3" t="s">
        <v>9</v>
      </c>
      <c r="D808" s="4" t="s">
        <v>14</v>
      </c>
      <c r="E808" s="4" t="s">
        <v>15</v>
      </c>
      <c r="F808" s="4" t="s">
        <v>16</v>
      </c>
      <c r="G808" s="5" t="s">
        <v>17</v>
      </c>
      <c r="H808" s="6">
        <v>0.0</v>
      </c>
    </row>
    <row r="809" spans="8:8" ht="23.85" hidden="1">
      <c r="A809" s="2">
        <v>1607.0</v>
      </c>
      <c r="B809" s="3" t="s">
        <v>431</v>
      </c>
      <c r="C809" s="3" t="s">
        <v>9</v>
      </c>
      <c r="D809" s="4" t="s">
        <v>14</v>
      </c>
      <c r="E809" s="4" t="s">
        <v>15</v>
      </c>
      <c r="F809" s="4" t="s">
        <v>16</v>
      </c>
      <c r="G809" s="5" t="s">
        <v>17</v>
      </c>
      <c r="H809" s="6">
        <v>0.0</v>
      </c>
    </row>
    <row r="810" spans="8:8" ht="23.85" hidden="1">
      <c r="A810" s="2">
        <v>1608.0</v>
      </c>
      <c r="B810" s="3" t="s">
        <v>431</v>
      </c>
      <c r="C810" s="3" t="s">
        <v>9</v>
      </c>
      <c r="D810" s="4" t="s">
        <v>14</v>
      </c>
      <c r="E810" s="4" t="s">
        <v>15</v>
      </c>
      <c r="F810" s="4" t="s">
        <v>16</v>
      </c>
      <c r="G810" s="5" t="s">
        <v>17</v>
      </c>
      <c r="H810" s="6">
        <v>0.0</v>
      </c>
    </row>
    <row r="811" spans="8:8" ht="23.85">
      <c r="A811" s="2">
        <v>1609.0</v>
      </c>
      <c r="B811" s="7" t="s">
        <v>431</v>
      </c>
      <c r="C811" s="7" t="s">
        <v>18</v>
      </c>
      <c r="D811" s="8" t="s">
        <v>432</v>
      </c>
      <c r="E811" s="8" t="s">
        <v>433</v>
      </c>
      <c r="F811" s="8" t="s">
        <v>434</v>
      </c>
      <c r="G811" s="9" t="s">
        <v>435</v>
      </c>
      <c r="H811" s="11">
        <v>2.0</v>
      </c>
    </row>
    <row r="812" spans="8:8" ht="23.85" hidden="1">
      <c r="A812" s="2">
        <v>1610.0</v>
      </c>
      <c r="B812" s="3" t="s">
        <v>431</v>
      </c>
      <c r="C812" s="3" t="s">
        <v>9</v>
      </c>
      <c r="D812" s="4" t="s">
        <v>14</v>
      </c>
      <c r="E812" s="4" t="s">
        <v>15</v>
      </c>
      <c r="F812" s="4" t="s">
        <v>16</v>
      </c>
      <c r="G812" s="5" t="s">
        <v>17</v>
      </c>
      <c r="H812" s="6">
        <v>0.0</v>
      </c>
    </row>
    <row r="813" spans="8:8" ht="23.85" hidden="1">
      <c r="A813" s="2">
        <v>1611.0</v>
      </c>
      <c r="B813" s="3" t="s">
        <v>431</v>
      </c>
      <c r="C813" s="3" t="s">
        <v>9</v>
      </c>
      <c r="D813" s="4" t="s">
        <v>14</v>
      </c>
      <c r="E813" s="4" t="s">
        <v>15</v>
      </c>
      <c r="F813" s="4" t="s">
        <v>16</v>
      </c>
      <c r="G813" s="5" t="s">
        <v>17</v>
      </c>
      <c r="H813" s="6">
        <v>0.0</v>
      </c>
    </row>
    <row r="814" spans="8:8" ht="23.85" hidden="1">
      <c r="A814" s="2">
        <v>1612.0</v>
      </c>
      <c r="B814" s="3" t="s">
        <v>431</v>
      </c>
      <c r="C814" s="3" t="s">
        <v>9</v>
      </c>
      <c r="D814" s="4" t="s">
        <v>14</v>
      </c>
      <c r="E814" s="4" t="s">
        <v>15</v>
      </c>
      <c r="F814" s="4" t="s">
        <v>16</v>
      </c>
      <c r="G814" s="5" t="s">
        <v>17</v>
      </c>
      <c r="H814" s="6">
        <v>0.0</v>
      </c>
    </row>
    <row r="815" spans="8:8" ht="23.85" hidden="1">
      <c r="A815" s="2">
        <v>1613.0</v>
      </c>
      <c r="B815" s="3" t="s">
        <v>431</v>
      </c>
      <c r="C815" s="3" t="s">
        <v>9</v>
      </c>
      <c r="D815" s="4" t="s">
        <v>14</v>
      </c>
      <c r="E815" s="4" t="s">
        <v>15</v>
      </c>
      <c r="F815" s="4" t="s">
        <v>16</v>
      </c>
      <c r="G815" s="5" t="s">
        <v>17</v>
      </c>
      <c r="H815" s="6">
        <v>0.0</v>
      </c>
    </row>
    <row r="816" spans="8:8" ht="23.85" hidden="1">
      <c r="A816" s="2">
        <v>1614.0</v>
      </c>
      <c r="B816" s="3" t="s">
        <v>431</v>
      </c>
      <c r="C816" s="3" t="s">
        <v>9</v>
      </c>
      <c r="D816" s="4" t="s">
        <v>14</v>
      </c>
      <c r="E816" s="4" t="s">
        <v>15</v>
      </c>
      <c r="F816" s="4" t="s">
        <v>16</v>
      </c>
      <c r="G816" s="5" t="s">
        <v>17</v>
      </c>
      <c r="H816" s="6">
        <v>0.0</v>
      </c>
    </row>
    <row r="817" spans="8:8" ht="23.85" hidden="1">
      <c r="A817" s="2">
        <v>1615.0</v>
      </c>
      <c r="B817" s="3" t="s">
        <v>431</v>
      </c>
      <c r="C817" s="3" t="s">
        <v>9</v>
      </c>
      <c r="D817" s="4" t="s">
        <v>14</v>
      </c>
      <c r="E817" s="4" t="s">
        <v>15</v>
      </c>
      <c r="F817" s="4" t="s">
        <v>16</v>
      </c>
      <c r="G817" s="5" t="s">
        <v>17</v>
      </c>
      <c r="H817" s="6">
        <v>0.0</v>
      </c>
    </row>
    <row r="818" spans="8:8" ht="23.85" hidden="1">
      <c r="A818" s="2">
        <v>1616.0</v>
      </c>
      <c r="B818" s="3" t="s">
        <v>431</v>
      </c>
      <c r="C818" s="3" t="s">
        <v>9</v>
      </c>
      <c r="D818" s="4" t="s">
        <v>14</v>
      </c>
      <c r="E818" s="4" t="s">
        <v>15</v>
      </c>
      <c r="F818" s="4" t="s">
        <v>16</v>
      </c>
      <c r="G818" s="5" t="s">
        <v>17</v>
      </c>
      <c r="H818" s="6">
        <v>0.0</v>
      </c>
    </row>
    <row r="819" spans="8:8" ht="23.85" hidden="1">
      <c r="A819" s="2">
        <v>1617.0</v>
      </c>
      <c r="B819" s="3" t="s">
        <v>431</v>
      </c>
      <c r="C819" s="3" t="s">
        <v>9</v>
      </c>
      <c r="D819" s="4" t="s">
        <v>14</v>
      </c>
      <c r="E819" s="4" t="s">
        <v>15</v>
      </c>
      <c r="F819" s="4" t="s">
        <v>16</v>
      </c>
      <c r="G819" s="5" t="s">
        <v>17</v>
      </c>
      <c r="H819" s="6">
        <v>0.0</v>
      </c>
    </row>
    <row r="820" spans="8:8" ht="15.0">
      <c r="A820" s="2">
        <v>1618.0</v>
      </c>
      <c r="B820" s="7" t="s">
        <v>431</v>
      </c>
      <c r="C820" s="12" t="s">
        <v>18</v>
      </c>
      <c r="D820" s="8" t="s">
        <v>436</v>
      </c>
      <c r="E820" s="8" t="s">
        <v>89</v>
      </c>
      <c r="F820" s="8" t="s">
        <v>370</v>
      </c>
      <c r="G820" s="9" t="s">
        <v>437</v>
      </c>
      <c r="H820" s="13">
        <v>4.0</v>
      </c>
    </row>
    <row r="821" spans="8:8" ht="15.0">
      <c r="A821" s="2">
        <v>1619.0</v>
      </c>
      <c r="B821" s="7" t="s">
        <v>431</v>
      </c>
      <c r="C821" s="7" t="s">
        <v>18</v>
      </c>
      <c r="D821" s="8" t="s">
        <v>438</v>
      </c>
      <c r="E821" s="8" t="s">
        <v>89</v>
      </c>
      <c r="F821" s="8" t="s">
        <v>439</v>
      </c>
      <c r="G821" s="9" t="s">
        <v>440</v>
      </c>
      <c r="H821" s="10">
        <v>3.0</v>
      </c>
    </row>
    <row r="822" spans="8:8" ht="15.0">
      <c r="A822" s="2">
        <v>1620.0</v>
      </c>
      <c r="B822" s="7" t="s">
        <v>431</v>
      </c>
      <c r="C822" s="12" t="s">
        <v>18</v>
      </c>
      <c r="D822" s="8" t="s">
        <v>441</v>
      </c>
      <c r="E822" s="8" t="s">
        <v>89</v>
      </c>
      <c r="F822" s="8" t="s">
        <v>370</v>
      </c>
      <c r="G822" s="9" t="s">
        <v>442</v>
      </c>
      <c r="H822" s="13">
        <v>4.0</v>
      </c>
    </row>
    <row r="823" spans="8:8" ht="15.0">
      <c r="A823" s="2">
        <v>1621.0</v>
      </c>
      <c r="B823" s="7" t="s">
        <v>431</v>
      </c>
      <c r="C823" s="12" t="s">
        <v>18</v>
      </c>
      <c r="D823" s="8" t="s">
        <v>443</v>
      </c>
      <c r="E823" s="8" t="s">
        <v>444</v>
      </c>
      <c r="F823" s="8" t="s">
        <v>370</v>
      </c>
      <c r="G823" s="9" t="s">
        <v>445</v>
      </c>
      <c r="H823" s="13">
        <v>4.0</v>
      </c>
    </row>
    <row r="824" spans="8:8" ht="15.0">
      <c r="A824" s="2">
        <v>1622.0</v>
      </c>
      <c r="B824" s="7" t="s">
        <v>431</v>
      </c>
      <c r="C824" s="12" t="s">
        <v>18</v>
      </c>
      <c r="D824" s="8" t="s">
        <v>446</v>
      </c>
      <c r="E824" s="8" t="s">
        <v>444</v>
      </c>
      <c r="F824" s="8" t="s">
        <v>370</v>
      </c>
      <c r="G824" s="9" t="s">
        <v>447</v>
      </c>
      <c r="H824" s="13">
        <v>4.0</v>
      </c>
    </row>
    <row r="825" spans="8:8" ht="15.0">
      <c r="A825" s="2">
        <v>1623.0</v>
      </c>
      <c r="B825" s="7" t="s">
        <v>431</v>
      </c>
      <c r="C825" s="7" t="s">
        <v>18</v>
      </c>
      <c r="D825" s="8" t="s">
        <v>448</v>
      </c>
      <c r="E825" s="8" t="s">
        <v>125</v>
      </c>
      <c r="F825" s="8" t="s">
        <v>370</v>
      </c>
      <c r="G825" s="9" t="s">
        <v>449</v>
      </c>
      <c r="H825" s="10">
        <v>3.0</v>
      </c>
    </row>
    <row r="826" spans="8:8" ht="23.85" hidden="1">
      <c r="A826" s="2">
        <v>1624.0</v>
      </c>
      <c r="B826" s="3" t="s">
        <v>431</v>
      </c>
      <c r="C826" s="3" t="s">
        <v>9</v>
      </c>
      <c r="D826" s="4" t="s">
        <v>14</v>
      </c>
      <c r="E826" s="4" t="s">
        <v>15</v>
      </c>
      <c r="F826" s="4" t="s">
        <v>16</v>
      </c>
      <c r="G826" s="5" t="s">
        <v>17</v>
      </c>
      <c r="H826" s="6">
        <v>0.0</v>
      </c>
    </row>
    <row r="827" spans="8:8" ht="23.85" hidden="1">
      <c r="A827" s="2">
        <v>1625.0</v>
      </c>
      <c r="B827" s="3" t="s">
        <v>431</v>
      </c>
      <c r="C827" s="3" t="s">
        <v>9</v>
      </c>
      <c r="D827" s="4" t="s">
        <v>14</v>
      </c>
      <c r="E827" s="4" t="s">
        <v>15</v>
      </c>
      <c r="F827" s="4" t="s">
        <v>16</v>
      </c>
      <c r="G827" s="5" t="s">
        <v>17</v>
      </c>
      <c r="H827" s="6">
        <v>0.0</v>
      </c>
    </row>
    <row r="828" spans="8:8" ht="23.85" hidden="1">
      <c r="A828" s="2">
        <v>1626.0</v>
      </c>
      <c r="B828" s="3" t="s">
        <v>431</v>
      </c>
      <c r="C828" s="3" t="s">
        <v>9</v>
      </c>
      <c r="D828" s="4" t="s">
        <v>14</v>
      </c>
      <c r="E828" s="4" t="s">
        <v>15</v>
      </c>
      <c r="F828" s="4" t="s">
        <v>16</v>
      </c>
      <c r="G828" s="5" t="s">
        <v>17</v>
      </c>
      <c r="H828" s="6">
        <v>0.0</v>
      </c>
    </row>
    <row r="829" spans="8:8" ht="23.85" hidden="1">
      <c r="A829" s="2">
        <v>1627.0</v>
      </c>
      <c r="B829" s="3" t="s">
        <v>431</v>
      </c>
      <c r="C829" s="3" t="s">
        <v>9</v>
      </c>
      <c r="D829" s="4" t="s">
        <v>14</v>
      </c>
      <c r="E829" s="4" t="s">
        <v>15</v>
      </c>
      <c r="F829" s="4" t="s">
        <v>16</v>
      </c>
      <c r="G829" s="5" t="s">
        <v>17</v>
      </c>
      <c r="H829" s="6">
        <v>0.0</v>
      </c>
    </row>
    <row r="830" spans="8:8" ht="23.85" hidden="1">
      <c r="A830" s="2">
        <v>1628.0</v>
      </c>
      <c r="B830" s="3" t="s">
        <v>431</v>
      </c>
      <c r="C830" s="3" t="s">
        <v>9</v>
      </c>
      <c r="D830" s="4" t="s">
        <v>14</v>
      </c>
      <c r="E830" s="4" t="s">
        <v>15</v>
      </c>
      <c r="F830" s="4" t="s">
        <v>16</v>
      </c>
      <c r="G830" s="5" t="s">
        <v>17</v>
      </c>
      <c r="H830" s="6">
        <v>0.0</v>
      </c>
    </row>
    <row r="831" spans="8:8" ht="23.85" hidden="1">
      <c r="A831" s="2">
        <v>1629.0</v>
      </c>
      <c r="B831" s="3" t="s">
        <v>431</v>
      </c>
      <c r="C831" s="3" t="s">
        <v>9</v>
      </c>
      <c r="D831" s="4" t="s">
        <v>14</v>
      </c>
      <c r="E831" s="4" t="s">
        <v>15</v>
      </c>
      <c r="F831" s="4" t="s">
        <v>16</v>
      </c>
      <c r="G831" s="5" t="s">
        <v>17</v>
      </c>
      <c r="H831" s="6">
        <v>0.0</v>
      </c>
    </row>
    <row r="832" spans="8:8" ht="23.85" hidden="1">
      <c r="A832" s="2">
        <v>1630.0</v>
      </c>
      <c r="B832" s="3" t="s">
        <v>431</v>
      </c>
      <c r="C832" s="3" t="s">
        <v>9</v>
      </c>
      <c r="D832" s="4" t="s">
        <v>14</v>
      </c>
      <c r="E832" s="4" t="s">
        <v>15</v>
      </c>
      <c r="F832" s="4" t="s">
        <v>16</v>
      </c>
      <c r="G832" s="5" t="s">
        <v>17</v>
      </c>
      <c r="H832" s="6">
        <v>0.0</v>
      </c>
    </row>
    <row r="833" spans="8:8" ht="23.85" hidden="1">
      <c r="A833" s="2">
        <v>1631.0</v>
      </c>
      <c r="B833" s="3" t="s">
        <v>431</v>
      </c>
      <c r="C833" s="3" t="s">
        <v>9</v>
      </c>
      <c r="D833" s="4" t="s">
        <v>14</v>
      </c>
      <c r="E833" s="4" t="s">
        <v>15</v>
      </c>
      <c r="F833" s="4" t="s">
        <v>16</v>
      </c>
      <c r="G833" s="5" t="s">
        <v>17</v>
      </c>
      <c r="H833" s="6">
        <v>0.0</v>
      </c>
    </row>
    <row r="834" spans="8:8" ht="23.85" hidden="1">
      <c r="A834" s="2">
        <v>1632.0</v>
      </c>
      <c r="B834" s="3" t="s">
        <v>431</v>
      </c>
      <c r="C834" s="3" t="s">
        <v>9</v>
      </c>
      <c r="D834" s="4" t="s">
        <v>14</v>
      </c>
      <c r="E834" s="4" t="s">
        <v>15</v>
      </c>
      <c r="F834" s="4" t="s">
        <v>16</v>
      </c>
      <c r="G834" s="5" t="s">
        <v>17</v>
      </c>
      <c r="H834" s="6">
        <v>0.0</v>
      </c>
    </row>
    <row r="835" spans="8:8" ht="23.85" hidden="1">
      <c r="A835" s="2">
        <v>1633.0</v>
      </c>
      <c r="B835" s="3" t="s">
        <v>431</v>
      </c>
      <c r="C835" s="3" t="s">
        <v>9</v>
      </c>
      <c r="D835" s="4" t="s">
        <v>14</v>
      </c>
      <c r="E835" s="4" t="s">
        <v>15</v>
      </c>
      <c r="F835" s="4" t="s">
        <v>16</v>
      </c>
      <c r="G835" s="5" t="s">
        <v>17</v>
      </c>
      <c r="H835" s="6">
        <v>0.0</v>
      </c>
    </row>
    <row r="836" spans="8:8" ht="23.85" hidden="1">
      <c r="A836" s="2">
        <v>1634.0</v>
      </c>
      <c r="B836" s="3" t="s">
        <v>431</v>
      </c>
      <c r="C836" s="3" t="s">
        <v>9</v>
      </c>
      <c r="D836" s="4" t="s">
        <v>14</v>
      </c>
      <c r="E836" s="4" t="s">
        <v>15</v>
      </c>
      <c r="F836" s="4" t="s">
        <v>16</v>
      </c>
      <c r="G836" s="5" t="s">
        <v>17</v>
      </c>
      <c r="H836" s="6">
        <v>0.0</v>
      </c>
    </row>
    <row r="837" spans="8:8" ht="23.85" hidden="1">
      <c r="A837" s="2">
        <v>1635.0</v>
      </c>
      <c r="B837" s="3" t="s">
        <v>431</v>
      </c>
      <c r="C837" s="3" t="s">
        <v>9</v>
      </c>
      <c r="D837" s="4" t="s">
        <v>14</v>
      </c>
      <c r="E837" s="4" t="s">
        <v>15</v>
      </c>
      <c r="F837" s="4" t="s">
        <v>16</v>
      </c>
      <c r="G837" s="5" t="s">
        <v>17</v>
      </c>
      <c r="H837" s="6">
        <v>0.0</v>
      </c>
    </row>
    <row r="838" spans="8:8" ht="15.0">
      <c r="A838" s="2">
        <v>1636.0</v>
      </c>
      <c r="B838" s="7" t="s">
        <v>431</v>
      </c>
      <c r="C838" s="7" t="s">
        <v>18</v>
      </c>
      <c r="D838" s="8" t="s">
        <v>450</v>
      </c>
      <c r="E838" s="8" t="s">
        <v>451</v>
      </c>
      <c r="F838" s="8" t="s">
        <v>434</v>
      </c>
      <c r="G838" s="9" t="s">
        <v>452</v>
      </c>
      <c r="H838" s="10">
        <v>3.0</v>
      </c>
    </row>
    <row r="839" spans="8:8" ht="23.85">
      <c r="A839" s="2">
        <v>1637.0</v>
      </c>
      <c r="B839" s="7" t="s">
        <v>431</v>
      </c>
      <c r="C839" s="7" t="s">
        <v>18</v>
      </c>
      <c r="D839" s="8" t="s">
        <v>453</v>
      </c>
      <c r="E839" s="8" t="s">
        <v>454</v>
      </c>
      <c r="F839" s="8" t="s">
        <v>434</v>
      </c>
      <c r="G839" s="9" t="s">
        <v>455</v>
      </c>
      <c r="H839" s="10">
        <v>3.0</v>
      </c>
    </row>
    <row r="840" spans="8:8" ht="23.85" hidden="1">
      <c r="A840" s="2">
        <v>1638.0</v>
      </c>
      <c r="B840" s="3" t="s">
        <v>431</v>
      </c>
      <c r="C840" s="3" t="s">
        <v>9</v>
      </c>
      <c r="D840" s="4" t="s">
        <v>14</v>
      </c>
      <c r="E840" s="4" t="s">
        <v>15</v>
      </c>
      <c r="F840" s="4" t="s">
        <v>16</v>
      </c>
      <c r="G840" s="5" t="s">
        <v>17</v>
      </c>
      <c r="H840" s="6">
        <v>0.0</v>
      </c>
    </row>
    <row r="841" spans="8:8" ht="23.85" hidden="1">
      <c r="A841" s="2">
        <v>1639.0</v>
      </c>
      <c r="B841" s="3" t="s">
        <v>431</v>
      </c>
      <c r="C841" s="3" t="s">
        <v>9</v>
      </c>
      <c r="D841" s="4" t="s">
        <v>14</v>
      </c>
      <c r="E841" s="4" t="s">
        <v>15</v>
      </c>
      <c r="F841" s="4" t="s">
        <v>16</v>
      </c>
      <c r="G841" s="5" t="s">
        <v>17</v>
      </c>
      <c r="H841" s="6">
        <v>0.0</v>
      </c>
    </row>
    <row r="842" spans="8:8" ht="23.85">
      <c r="A842" s="2">
        <v>1640.0</v>
      </c>
      <c r="B842" s="7" t="s">
        <v>431</v>
      </c>
      <c r="C842" s="7" t="s">
        <v>18</v>
      </c>
      <c r="D842" s="8" t="s">
        <v>456</v>
      </c>
      <c r="E842" s="8" t="s">
        <v>27</v>
      </c>
      <c r="F842" s="8" t="s">
        <v>69</v>
      </c>
      <c r="G842" s="9" t="s">
        <v>457</v>
      </c>
      <c r="H842" s="11">
        <v>2.0</v>
      </c>
    </row>
    <row r="843" spans="8:8" ht="23.85" hidden="1">
      <c r="A843" s="2">
        <v>1641.0</v>
      </c>
      <c r="B843" s="3" t="s">
        <v>431</v>
      </c>
      <c r="C843" s="3" t="s">
        <v>9</v>
      </c>
      <c r="D843" s="4" t="s">
        <v>14</v>
      </c>
      <c r="E843" s="4" t="s">
        <v>15</v>
      </c>
      <c r="F843" s="4" t="s">
        <v>16</v>
      </c>
      <c r="G843" s="5" t="s">
        <v>17</v>
      </c>
      <c r="H843" s="6">
        <v>0.0</v>
      </c>
    </row>
    <row r="844" spans="8:8" ht="23.85" hidden="1">
      <c r="A844" s="2">
        <v>1642.0</v>
      </c>
      <c r="B844" s="3" t="s">
        <v>431</v>
      </c>
      <c r="C844" s="3" t="s">
        <v>9</v>
      </c>
      <c r="D844" s="4" t="s">
        <v>14</v>
      </c>
      <c r="E844" s="4" t="s">
        <v>15</v>
      </c>
      <c r="F844" s="4" t="s">
        <v>16</v>
      </c>
      <c r="G844" s="5" t="s">
        <v>17</v>
      </c>
      <c r="H844" s="6">
        <v>0.0</v>
      </c>
    </row>
    <row r="845" spans="8:8" ht="23.85" hidden="1">
      <c r="A845" s="2">
        <v>1643.0</v>
      </c>
      <c r="B845" s="3" t="s">
        <v>431</v>
      </c>
      <c r="C845" s="3" t="s">
        <v>9</v>
      </c>
      <c r="D845" s="4" t="s">
        <v>14</v>
      </c>
      <c r="E845" s="4" t="s">
        <v>15</v>
      </c>
      <c r="F845" s="4" t="s">
        <v>16</v>
      </c>
      <c r="G845" s="5" t="s">
        <v>17</v>
      </c>
      <c r="H845" s="6">
        <v>0.0</v>
      </c>
    </row>
    <row r="846" spans="8:8" ht="23.85" hidden="1">
      <c r="A846" s="2">
        <v>1644.0</v>
      </c>
      <c r="B846" s="3" t="s">
        <v>431</v>
      </c>
      <c r="C846" s="3" t="s">
        <v>9</v>
      </c>
      <c r="D846" s="4" t="s">
        <v>14</v>
      </c>
      <c r="E846" s="4" t="s">
        <v>15</v>
      </c>
      <c r="F846" s="4" t="s">
        <v>16</v>
      </c>
      <c r="G846" s="5" t="s">
        <v>17</v>
      </c>
      <c r="H846" s="6">
        <v>0.0</v>
      </c>
    </row>
    <row r="847" spans="8:8" ht="23.85" hidden="1">
      <c r="A847" s="2">
        <v>1645.0</v>
      </c>
      <c r="B847" s="3" t="s">
        <v>431</v>
      </c>
      <c r="C847" s="3" t="s">
        <v>9</v>
      </c>
      <c r="D847" s="4" t="s">
        <v>14</v>
      </c>
      <c r="E847" s="4" t="s">
        <v>15</v>
      </c>
      <c r="F847" s="4" t="s">
        <v>16</v>
      </c>
      <c r="G847" s="5" t="s">
        <v>17</v>
      </c>
      <c r="H847" s="6">
        <v>0.0</v>
      </c>
    </row>
    <row r="848" spans="8:8" ht="23.85" hidden="1">
      <c r="A848" s="2">
        <v>1646.0</v>
      </c>
      <c r="B848" s="3" t="s">
        <v>431</v>
      </c>
      <c r="C848" s="3" t="s">
        <v>9</v>
      </c>
      <c r="D848" s="4" t="s">
        <v>14</v>
      </c>
      <c r="E848" s="4" t="s">
        <v>15</v>
      </c>
      <c r="F848" s="4" t="s">
        <v>16</v>
      </c>
      <c r="G848" s="5" t="s">
        <v>17</v>
      </c>
      <c r="H848" s="6">
        <v>0.0</v>
      </c>
    </row>
    <row r="849" spans="8:8" ht="23.85" hidden="1">
      <c r="A849" s="2">
        <v>1647.0</v>
      </c>
      <c r="B849" s="3" t="s">
        <v>431</v>
      </c>
      <c r="C849" s="3" t="s">
        <v>9</v>
      </c>
      <c r="D849" s="4" t="s">
        <v>14</v>
      </c>
      <c r="E849" s="4" t="s">
        <v>15</v>
      </c>
      <c r="F849" s="4" t="s">
        <v>16</v>
      </c>
      <c r="G849" s="5" t="s">
        <v>17</v>
      </c>
      <c r="H849" s="6">
        <v>0.0</v>
      </c>
    </row>
    <row r="850" spans="8:8" ht="23.85" hidden="1">
      <c r="A850" s="2">
        <v>1648.0</v>
      </c>
      <c r="B850" s="3" t="s">
        <v>431</v>
      </c>
      <c r="C850" s="3" t="s">
        <v>9</v>
      </c>
      <c r="D850" s="4" t="s">
        <v>14</v>
      </c>
      <c r="E850" s="4" t="s">
        <v>15</v>
      </c>
      <c r="F850" s="4" t="s">
        <v>16</v>
      </c>
      <c r="G850" s="5" t="s">
        <v>17</v>
      </c>
      <c r="H850" s="6">
        <v>0.0</v>
      </c>
    </row>
    <row r="851" spans="8:8" ht="23.85" hidden="1">
      <c r="A851" s="2">
        <v>1649.0</v>
      </c>
      <c r="B851" s="3" t="s">
        <v>431</v>
      </c>
      <c r="C851" s="3" t="s">
        <v>9</v>
      </c>
      <c r="D851" s="4" t="s">
        <v>14</v>
      </c>
      <c r="E851" s="4" t="s">
        <v>15</v>
      </c>
      <c r="F851" s="4" t="s">
        <v>16</v>
      </c>
      <c r="G851" s="5" t="s">
        <v>17</v>
      </c>
      <c r="H851" s="6">
        <v>0.0</v>
      </c>
    </row>
    <row r="852" spans="8:8" ht="23.85" hidden="1">
      <c r="A852" s="2">
        <v>1650.0</v>
      </c>
      <c r="B852" s="3" t="s">
        <v>431</v>
      </c>
      <c r="C852" s="3" t="s">
        <v>9</v>
      </c>
      <c r="D852" s="4" t="s">
        <v>14</v>
      </c>
      <c r="E852" s="4" t="s">
        <v>15</v>
      </c>
      <c r="F852" s="4" t="s">
        <v>16</v>
      </c>
      <c r="G852" s="5" t="s">
        <v>17</v>
      </c>
      <c r="H852" s="6">
        <v>0.0</v>
      </c>
    </row>
    <row r="853" spans="8:8" ht="23.85" hidden="1">
      <c r="A853" s="2">
        <v>1651.0</v>
      </c>
      <c r="B853" s="3" t="s">
        <v>431</v>
      </c>
      <c r="C853" s="3" t="s">
        <v>9</v>
      </c>
      <c r="D853" s="4" t="s">
        <v>14</v>
      </c>
      <c r="E853" s="4" t="s">
        <v>15</v>
      </c>
      <c r="F853" s="4" t="s">
        <v>16</v>
      </c>
      <c r="G853" s="5" t="s">
        <v>17</v>
      </c>
      <c r="H853" s="6">
        <v>0.0</v>
      </c>
    </row>
    <row r="854" spans="8:8" ht="23.85" hidden="1">
      <c r="A854" s="2">
        <v>1652.0</v>
      </c>
      <c r="B854" s="3" t="s">
        <v>431</v>
      </c>
      <c r="C854" s="3" t="s">
        <v>9</v>
      </c>
      <c r="D854" s="4" t="s">
        <v>14</v>
      </c>
      <c r="E854" s="4" t="s">
        <v>15</v>
      </c>
      <c r="F854" s="4" t="s">
        <v>16</v>
      </c>
      <c r="G854" s="5" t="s">
        <v>17</v>
      </c>
      <c r="H854" s="6">
        <v>0.0</v>
      </c>
    </row>
    <row r="855" spans="8:8" ht="23.85" hidden="1">
      <c r="A855" s="2">
        <v>1653.0</v>
      </c>
      <c r="B855" s="3" t="s">
        <v>431</v>
      </c>
      <c r="C855" s="3" t="s">
        <v>9</v>
      </c>
      <c r="D855" s="4" t="s">
        <v>14</v>
      </c>
      <c r="E855" s="4" t="s">
        <v>15</v>
      </c>
      <c r="F855" s="4" t="s">
        <v>16</v>
      </c>
      <c r="G855" s="5" t="s">
        <v>17</v>
      </c>
      <c r="H855" s="6">
        <v>0.0</v>
      </c>
    </row>
    <row r="856" spans="8:8" ht="23.85" hidden="1">
      <c r="A856" s="2">
        <v>1654.0</v>
      </c>
      <c r="B856" s="3" t="s">
        <v>431</v>
      </c>
      <c r="C856" s="3" t="s">
        <v>9</v>
      </c>
      <c r="D856" s="4" t="s">
        <v>14</v>
      </c>
      <c r="E856" s="4" t="s">
        <v>15</v>
      </c>
      <c r="F856" s="4" t="s">
        <v>16</v>
      </c>
      <c r="G856" s="5" t="s">
        <v>17</v>
      </c>
      <c r="H856" s="6">
        <v>0.0</v>
      </c>
    </row>
    <row r="857" spans="8:8" ht="23.85" hidden="1">
      <c r="A857" s="2">
        <v>1655.0</v>
      </c>
      <c r="B857" s="3" t="s">
        <v>431</v>
      </c>
      <c r="C857" s="3" t="s">
        <v>9</v>
      </c>
      <c r="D857" s="4" t="s">
        <v>14</v>
      </c>
      <c r="E857" s="4" t="s">
        <v>15</v>
      </c>
      <c r="F857" s="4" t="s">
        <v>16</v>
      </c>
      <c r="G857" s="5" t="s">
        <v>17</v>
      </c>
      <c r="H857" s="6">
        <v>0.0</v>
      </c>
    </row>
    <row r="858" spans="8:8" ht="23.85" hidden="1">
      <c r="A858" s="2">
        <v>1656.0</v>
      </c>
      <c r="B858" s="3" t="s">
        <v>431</v>
      </c>
      <c r="C858" s="3" t="s">
        <v>9</v>
      </c>
      <c r="D858" s="4" t="s">
        <v>14</v>
      </c>
      <c r="E858" s="4" t="s">
        <v>15</v>
      </c>
      <c r="F858" s="4" t="s">
        <v>16</v>
      </c>
      <c r="G858" s="5" t="s">
        <v>17</v>
      </c>
      <c r="H858" s="6">
        <v>0.0</v>
      </c>
    </row>
    <row r="859" spans="8:8" ht="23.85" hidden="1">
      <c r="A859" s="2">
        <v>1657.0</v>
      </c>
      <c r="B859" s="3" t="s">
        <v>431</v>
      </c>
      <c r="C859" s="3" t="s">
        <v>9</v>
      </c>
      <c r="D859" s="4" t="s">
        <v>14</v>
      </c>
      <c r="E859" s="4" t="s">
        <v>15</v>
      </c>
      <c r="F859" s="4" t="s">
        <v>16</v>
      </c>
      <c r="G859" s="5" t="s">
        <v>17</v>
      </c>
      <c r="H859" s="6">
        <v>0.0</v>
      </c>
    </row>
    <row r="860" spans="8:8" ht="23.85" hidden="1">
      <c r="A860" s="2">
        <v>1658.0</v>
      </c>
      <c r="B860" s="3" t="s">
        <v>431</v>
      </c>
      <c r="C860" s="3" t="s">
        <v>9</v>
      </c>
      <c r="D860" s="4" t="s">
        <v>14</v>
      </c>
      <c r="E860" s="4" t="s">
        <v>15</v>
      </c>
      <c r="F860" s="4" t="s">
        <v>16</v>
      </c>
      <c r="G860" s="5" t="s">
        <v>17</v>
      </c>
      <c r="H860" s="6">
        <v>0.0</v>
      </c>
    </row>
    <row r="861" spans="8:8" ht="23.85" hidden="1">
      <c r="A861" s="2">
        <v>1659.0</v>
      </c>
      <c r="B861" s="3" t="s">
        <v>431</v>
      </c>
      <c r="C861" s="3" t="s">
        <v>9</v>
      </c>
      <c r="D861" s="4" t="s">
        <v>14</v>
      </c>
      <c r="E861" s="4" t="s">
        <v>15</v>
      </c>
      <c r="F861" s="4" t="s">
        <v>16</v>
      </c>
      <c r="G861" s="5" t="s">
        <v>17</v>
      </c>
      <c r="H861" s="6">
        <v>0.0</v>
      </c>
    </row>
    <row r="862" spans="8:8" ht="23.85" hidden="1">
      <c r="A862" s="2">
        <v>1660.0</v>
      </c>
      <c r="B862" s="3" t="s">
        <v>431</v>
      </c>
      <c r="C862" s="3" t="s">
        <v>9</v>
      </c>
      <c r="D862" s="4" t="s">
        <v>14</v>
      </c>
      <c r="E862" s="4" t="s">
        <v>15</v>
      </c>
      <c r="F862" s="4" t="s">
        <v>16</v>
      </c>
      <c r="G862" s="5" t="s">
        <v>17</v>
      </c>
      <c r="H862" s="6">
        <v>0.0</v>
      </c>
    </row>
    <row r="863" spans="8:8" ht="23.85" hidden="1">
      <c r="A863" s="2">
        <v>1661.0</v>
      </c>
      <c r="B863" s="3" t="s">
        <v>431</v>
      </c>
      <c r="C863" s="3" t="s">
        <v>9</v>
      </c>
      <c r="D863" s="4" t="s">
        <v>14</v>
      </c>
      <c r="E863" s="4" t="s">
        <v>15</v>
      </c>
      <c r="F863" s="4" t="s">
        <v>16</v>
      </c>
      <c r="G863" s="5" t="s">
        <v>17</v>
      </c>
      <c r="H863" s="6">
        <v>0.0</v>
      </c>
    </row>
    <row r="864" spans="8:8" ht="23.85" hidden="1">
      <c r="A864" s="2">
        <v>1662.0</v>
      </c>
      <c r="B864" s="3" t="s">
        <v>431</v>
      </c>
      <c r="C864" s="3" t="s">
        <v>9</v>
      </c>
      <c r="D864" s="4" t="s">
        <v>14</v>
      </c>
      <c r="E864" s="4" t="s">
        <v>15</v>
      </c>
      <c r="F864" s="4" t="s">
        <v>16</v>
      </c>
      <c r="G864" s="5" t="s">
        <v>17</v>
      </c>
      <c r="H864" s="6">
        <v>0.0</v>
      </c>
    </row>
    <row r="865" spans="8:8" ht="23.85" hidden="1">
      <c r="A865" s="2">
        <v>1663.0</v>
      </c>
      <c r="B865" s="3" t="s">
        <v>431</v>
      </c>
      <c r="C865" s="3" t="s">
        <v>9</v>
      </c>
      <c r="D865" s="4" t="s">
        <v>14</v>
      </c>
      <c r="E865" s="4" t="s">
        <v>15</v>
      </c>
      <c r="F865" s="4" t="s">
        <v>16</v>
      </c>
      <c r="G865" s="5" t="s">
        <v>17</v>
      </c>
      <c r="H865" s="6">
        <v>0.0</v>
      </c>
    </row>
    <row r="866" spans="8:8" ht="23.85" hidden="1">
      <c r="A866" s="2">
        <v>1664.0</v>
      </c>
      <c r="B866" s="3" t="s">
        <v>431</v>
      </c>
      <c r="C866" s="3" t="s">
        <v>9</v>
      </c>
      <c r="D866" s="4" t="s">
        <v>14</v>
      </c>
      <c r="E866" s="4" t="s">
        <v>15</v>
      </c>
      <c r="F866" s="4" t="s">
        <v>16</v>
      </c>
      <c r="G866" s="5" t="s">
        <v>17</v>
      </c>
      <c r="H866" s="6">
        <v>0.0</v>
      </c>
    </row>
    <row r="867" spans="8:8" ht="23.85" hidden="1">
      <c r="A867" s="2">
        <v>1665.0</v>
      </c>
      <c r="B867" s="3" t="s">
        <v>431</v>
      </c>
      <c r="C867" s="3" t="s">
        <v>9</v>
      </c>
      <c r="D867" s="4" t="s">
        <v>14</v>
      </c>
      <c r="E867" s="4" t="s">
        <v>15</v>
      </c>
      <c r="F867" s="4" t="s">
        <v>16</v>
      </c>
      <c r="G867" s="5" t="s">
        <v>17</v>
      </c>
      <c r="H867" s="6">
        <v>0.0</v>
      </c>
    </row>
    <row r="868" spans="8:8" ht="23.85" hidden="1">
      <c r="A868" s="2">
        <v>1666.0</v>
      </c>
      <c r="B868" s="3" t="s">
        <v>431</v>
      </c>
      <c r="C868" s="3" t="s">
        <v>9</v>
      </c>
      <c r="D868" s="4" t="s">
        <v>14</v>
      </c>
      <c r="E868" s="4" t="s">
        <v>15</v>
      </c>
      <c r="F868" s="4" t="s">
        <v>16</v>
      </c>
      <c r="G868" s="5" t="s">
        <v>17</v>
      </c>
      <c r="H868" s="6">
        <v>0.0</v>
      </c>
    </row>
    <row r="869" spans="8:8" ht="15.0">
      <c r="A869" s="2">
        <v>1667.0</v>
      </c>
      <c r="B869" s="7" t="s">
        <v>431</v>
      </c>
      <c r="C869" s="7" t="s">
        <v>18</v>
      </c>
      <c r="D869" s="8" t="s">
        <v>458</v>
      </c>
      <c r="E869" s="8" t="s">
        <v>459</v>
      </c>
      <c r="F869" s="8" t="s">
        <v>69</v>
      </c>
      <c r="G869" s="9" t="s">
        <v>460</v>
      </c>
      <c r="H869" s="11">
        <v>2.0</v>
      </c>
    </row>
    <row r="870" spans="8:8" ht="23.85" hidden="1">
      <c r="A870" s="2">
        <v>1668.0</v>
      </c>
      <c r="B870" s="3" t="s">
        <v>431</v>
      </c>
      <c r="C870" s="3" t="s">
        <v>9</v>
      </c>
      <c r="D870" s="4" t="s">
        <v>14</v>
      </c>
      <c r="E870" s="4" t="s">
        <v>15</v>
      </c>
      <c r="F870" s="4" t="s">
        <v>16</v>
      </c>
      <c r="G870" s="5" t="s">
        <v>17</v>
      </c>
      <c r="H870" s="6">
        <v>0.0</v>
      </c>
    </row>
    <row r="871" spans="8:8" ht="23.85" hidden="1">
      <c r="A871" s="2">
        <v>1669.0</v>
      </c>
      <c r="B871" s="3" t="s">
        <v>431</v>
      </c>
      <c r="C871" s="3" t="s">
        <v>9</v>
      </c>
      <c r="D871" s="4" t="s">
        <v>14</v>
      </c>
      <c r="E871" s="4" t="s">
        <v>15</v>
      </c>
      <c r="F871" s="4" t="s">
        <v>16</v>
      </c>
      <c r="G871" s="5" t="s">
        <v>17</v>
      </c>
      <c r="H871" s="6">
        <v>0.0</v>
      </c>
    </row>
    <row r="872" spans="8:8" ht="23.85" hidden="1">
      <c r="A872" s="2">
        <v>1670.0</v>
      </c>
      <c r="B872" s="3" t="s">
        <v>431</v>
      </c>
      <c r="C872" s="3" t="s">
        <v>9</v>
      </c>
      <c r="D872" s="4" t="s">
        <v>14</v>
      </c>
      <c r="E872" s="4" t="s">
        <v>15</v>
      </c>
      <c r="F872" s="4" t="s">
        <v>16</v>
      </c>
      <c r="G872" s="5" t="s">
        <v>17</v>
      </c>
      <c r="H872" s="6">
        <v>0.0</v>
      </c>
    </row>
    <row r="873" spans="8:8" ht="23.85" hidden="1">
      <c r="A873" s="2">
        <v>1671.0</v>
      </c>
      <c r="B873" s="3" t="s">
        <v>431</v>
      </c>
      <c r="C873" s="3" t="s">
        <v>9</v>
      </c>
      <c r="D873" s="4" t="s">
        <v>14</v>
      </c>
      <c r="E873" s="4" t="s">
        <v>15</v>
      </c>
      <c r="F873" s="4" t="s">
        <v>16</v>
      </c>
      <c r="G873" s="5" t="s">
        <v>17</v>
      </c>
      <c r="H873" s="6">
        <v>0.0</v>
      </c>
    </row>
    <row r="874" spans="8:8" ht="23.85">
      <c r="A874" s="2">
        <v>1672.0</v>
      </c>
      <c r="B874" s="7" t="s">
        <v>431</v>
      </c>
      <c r="C874" s="12" t="s">
        <v>18</v>
      </c>
      <c r="D874" s="8" t="s">
        <v>461</v>
      </c>
      <c r="E874" s="8" t="s">
        <v>60</v>
      </c>
      <c r="F874" s="8" t="s">
        <v>462</v>
      </c>
      <c r="G874" s="9" t="s">
        <v>463</v>
      </c>
      <c r="H874" s="13">
        <v>4.0</v>
      </c>
    </row>
    <row r="875" spans="8:8" ht="23.85" hidden="1">
      <c r="A875" s="2">
        <v>1673.0</v>
      </c>
      <c r="B875" s="3" t="s">
        <v>431</v>
      </c>
      <c r="C875" s="3" t="s">
        <v>9</v>
      </c>
      <c r="D875" s="4" t="s">
        <v>14</v>
      </c>
      <c r="E875" s="4" t="s">
        <v>15</v>
      </c>
      <c r="F875" s="4" t="s">
        <v>16</v>
      </c>
      <c r="G875" s="5" t="s">
        <v>17</v>
      </c>
      <c r="H875" s="6">
        <v>0.0</v>
      </c>
    </row>
    <row r="876" spans="8:8" ht="23.85" hidden="1">
      <c r="A876" s="2">
        <v>1674.0</v>
      </c>
      <c r="B876" s="3" t="s">
        <v>431</v>
      </c>
      <c r="C876" s="3" t="s">
        <v>9</v>
      </c>
      <c r="D876" s="4" t="s">
        <v>14</v>
      </c>
      <c r="E876" s="4" t="s">
        <v>15</v>
      </c>
      <c r="F876" s="4" t="s">
        <v>16</v>
      </c>
      <c r="G876" s="5" t="s">
        <v>17</v>
      </c>
      <c r="H876" s="6">
        <v>0.0</v>
      </c>
    </row>
    <row r="877" spans="8:8" ht="23.85" hidden="1">
      <c r="A877" s="2">
        <v>1675.0</v>
      </c>
      <c r="B877" s="3" t="s">
        <v>431</v>
      </c>
      <c r="C877" s="3" t="s">
        <v>9</v>
      </c>
      <c r="D877" s="4" t="s">
        <v>14</v>
      </c>
      <c r="E877" s="4" t="s">
        <v>15</v>
      </c>
      <c r="F877" s="4" t="s">
        <v>16</v>
      </c>
      <c r="G877" s="5" t="s">
        <v>17</v>
      </c>
      <c r="H877" s="6">
        <v>0.0</v>
      </c>
    </row>
    <row r="878" spans="8:8" ht="23.85" hidden="1">
      <c r="A878" s="2">
        <v>1676.0</v>
      </c>
      <c r="B878" s="3" t="s">
        <v>431</v>
      </c>
      <c r="C878" s="3" t="s">
        <v>9</v>
      </c>
      <c r="D878" s="4" t="s">
        <v>14</v>
      </c>
      <c r="E878" s="4" t="s">
        <v>15</v>
      </c>
      <c r="F878" s="4" t="s">
        <v>16</v>
      </c>
      <c r="G878" s="5" t="s">
        <v>17</v>
      </c>
      <c r="H878" s="6">
        <v>0.0</v>
      </c>
    </row>
    <row r="879" spans="8:8" ht="23.85" hidden="1">
      <c r="A879" s="2">
        <v>1677.0</v>
      </c>
      <c r="B879" s="3" t="s">
        <v>431</v>
      </c>
      <c r="C879" s="3" t="s">
        <v>9</v>
      </c>
      <c r="D879" s="4" t="s">
        <v>14</v>
      </c>
      <c r="E879" s="4" t="s">
        <v>15</v>
      </c>
      <c r="F879" s="4" t="s">
        <v>16</v>
      </c>
      <c r="G879" s="5" t="s">
        <v>17</v>
      </c>
      <c r="H879" s="6">
        <v>0.0</v>
      </c>
    </row>
    <row r="880" spans="8:8" ht="23.85" hidden="1">
      <c r="A880" s="2">
        <v>1678.0</v>
      </c>
      <c r="B880" s="3" t="s">
        <v>431</v>
      </c>
      <c r="C880" s="3" t="s">
        <v>9</v>
      </c>
      <c r="D880" s="4" t="s">
        <v>14</v>
      </c>
      <c r="E880" s="4" t="s">
        <v>15</v>
      </c>
      <c r="F880" s="4" t="s">
        <v>16</v>
      </c>
      <c r="G880" s="5" t="s">
        <v>17</v>
      </c>
      <c r="H880" s="6">
        <v>0.0</v>
      </c>
    </row>
    <row r="881" spans="8:8" ht="23.85" hidden="1">
      <c r="A881" s="2">
        <v>1679.0</v>
      </c>
      <c r="B881" s="3" t="s">
        <v>431</v>
      </c>
      <c r="C881" s="3" t="s">
        <v>9</v>
      </c>
      <c r="D881" s="4" t="s">
        <v>14</v>
      </c>
      <c r="E881" s="4" t="s">
        <v>15</v>
      </c>
      <c r="F881" s="4" t="s">
        <v>16</v>
      </c>
      <c r="G881" s="5" t="s">
        <v>17</v>
      </c>
      <c r="H881" s="6">
        <v>0.0</v>
      </c>
    </row>
    <row r="882" spans="8:8" ht="23.85" hidden="1">
      <c r="A882" s="2">
        <v>1680.0</v>
      </c>
      <c r="B882" s="3" t="s">
        <v>431</v>
      </c>
      <c r="C882" s="3" t="s">
        <v>9</v>
      </c>
      <c r="D882" s="4" t="s">
        <v>14</v>
      </c>
      <c r="E882" s="4" t="s">
        <v>15</v>
      </c>
      <c r="F882" s="4" t="s">
        <v>16</v>
      </c>
      <c r="G882" s="5" t="s">
        <v>17</v>
      </c>
      <c r="H882" s="6">
        <v>0.0</v>
      </c>
    </row>
    <row r="883" spans="8:8" ht="23.85" hidden="1">
      <c r="A883" s="2">
        <v>1681.0</v>
      </c>
      <c r="B883" s="3" t="s">
        <v>431</v>
      </c>
      <c r="C883" s="3" t="s">
        <v>9</v>
      </c>
      <c r="D883" s="4" t="s">
        <v>14</v>
      </c>
      <c r="E883" s="4" t="s">
        <v>15</v>
      </c>
      <c r="F883" s="4" t="s">
        <v>16</v>
      </c>
      <c r="G883" s="5" t="s">
        <v>17</v>
      </c>
      <c r="H883" s="6">
        <v>0.0</v>
      </c>
    </row>
    <row r="884" spans="8:8" ht="23.85" hidden="1">
      <c r="A884" s="2">
        <v>1682.0</v>
      </c>
      <c r="B884" s="3" t="s">
        <v>431</v>
      </c>
      <c r="C884" s="3" t="s">
        <v>9</v>
      </c>
      <c r="D884" s="4" t="s">
        <v>14</v>
      </c>
      <c r="E884" s="4" t="s">
        <v>15</v>
      </c>
      <c r="F884" s="4" t="s">
        <v>16</v>
      </c>
      <c r="G884" s="5" t="s">
        <v>17</v>
      </c>
      <c r="H884" s="6">
        <v>0.0</v>
      </c>
    </row>
    <row r="885" spans="8:8" ht="23.85" hidden="1">
      <c r="A885" s="2">
        <v>1683.0</v>
      </c>
      <c r="B885" s="3" t="s">
        <v>431</v>
      </c>
      <c r="C885" s="3" t="s">
        <v>9</v>
      </c>
      <c r="D885" s="4" t="s">
        <v>14</v>
      </c>
      <c r="E885" s="4" t="s">
        <v>15</v>
      </c>
      <c r="F885" s="4" t="s">
        <v>16</v>
      </c>
      <c r="G885" s="5" t="s">
        <v>17</v>
      </c>
      <c r="H885" s="6">
        <v>0.0</v>
      </c>
    </row>
    <row r="886" spans="8:8" ht="23.85" hidden="1">
      <c r="A886" s="2">
        <v>1684.0</v>
      </c>
      <c r="B886" s="3" t="s">
        <v>431</v>
      </c>
      <c r="C886" s="3" t="s">
        <v>9</v>
      </c>
      <c r="D886" s="4" t="s">
        <v>14</v>
      </c>
      <c r="E886" s="4" t="s">
        <v>15</v>
      </c>
      <c r="F886" s="4" t="s">
        <v>16</v>
      </c>
      <c r="G886" s="5" t="s">
        <v>17</v>
      </c>
      <c r="H886" s="6">
        <v>0.0</v>
      </c>
    </row>
    <row r="887" spans="8:8" ht="23.85" hidden="1">
      <c r="A887" s="2">
        <v>1685.0</v>
      </c>
      <c r="B887" s="3" t="s">
        <v>431</v>
      </c>
      <c r="C887" s="3" t="s">
        <v>9</v>
      </c>
      <c r="D887" s="4" t="s">
        <v>14</v>
      </c>
      <c r="E887" s="4" t="s">
        <v>15</v>
      </c>
      <c r="F887" s="4" t="s">
        <v>16</v>
      </c>
      <c r="G887" s="5" t="s">
        <v>17</v>
      </c>
      <c r="H887" s="6">
        <v>0.0</v>
      </c>
    </row>
    <row r="888" spans="8:8" ht="23.85" hidden="1">
      <c r="A888" s="2">
        <v>1686.0</v>
      </c>
      <c r="B888" s="3" t="s">
        <v>431</v>
      </c>
      <c r="C888" s="3" t="s">
        <v>9</v>
      </c>
      <c r="D888" s="4" t="s">
        <v>14</v>
      </c>
      <c r="E888" s="4" t="s">
        <v>15</v>
      </c>
      <c r="F888" s="4" t="s">
        <v>16</v>
      </c>
      <c r="G888" s="5" t="s">
        <v>17</v>
      </c>
      <c r="H888" s="6">
        <v>0.0</v>
      </c>
    </row>
    <row r="889" spans="8:8" ht="23.85" hidden="1">
      <c r="A889" s="2">
        <v>1687.0</v>
      </c>
      <c r="B889" s="3" t="s">
        <v>431</v>
      </c>
      <c r="C889" s="3" t="s">
        <v>9</v>
      </c>
      <c r="D889" s="4" t="s">
        <v>14</v>
      </c>
      <c r="E889" s="4" t="s">
        <v>15</v>
      </c>
      <c r="F889" s="4" t="s">
        <v>16</v>
      </c>
      <c r="G889" s="5" t="s">
        <v>17</v>
      </c>
      <c r="H889" s="6">
        <v>0.0</v>
      </c>
    </row>
    <row r="890" spans="8:8" ht="23.85" hidden="1">
      <c r="A890" s="2">
        <v>1688.0</v>
      </c>
      <c r="B890" s="3" t="s">
        <v>431</v>
      </c>
      <c r="C890" s="3" t="s">
        <v>9</v>
      </c>
      <c r="D890" s="4" t="s">
        <v>14</v>
      </c>
      <c r="E890" s="4" t="s">
        <v>15</v>
      </c>
      <c r="F890" s="4" t="s">
        <v>16</v>
      </c>
      <c r="G890" s="5" t="s">
        <v>17</v>
      </c>
      <c r="H890" s="6">
        <v>0.0</v>
      </c>
    </row>
    <row r="891" spans="8:8" ht="23.85" hidden="1">
      <c r="A891" s="2">
        <v>1689.0</v>
      </c>
      <c r="B891" s="3" t="s">
        <v>431</v>
      </c>
      <c r="C891" s="3" t="s">
        <v>9</v>
      </c>
      <c r="D891" s="4" t="s">
        <v>14</v>
      </c>
      <c r="E891" s="4" t="s">
        <v>15</v>
      </c>
      <c r="F891" s="4" t="s">
        <v>16</v>
      </c>
      <c r="G891" s="5" t="s">
        <v>17</v>
      </c>
      <c r="H891" s="6">
        <v>0.0</v>
      </c>
    </row>
    <row r="892" spans="8:8" ht="23.85" hidden="1">
      <c r="A892" s="2">
        <v>1690.0</v>
      </c>
      <c r="B892" s="3" t="s">
        <v>431</v>
      </c>
      <c r="C892" s="3" t="s">
        <v>9</v>
      </c>
      <c r="D892" s="4" t="s">
        <v>14</v>
      </c>
      <c r="E892" s="4" t="s">
        <v>15</v>
      </c>
      <c r="F892" s="4" t="s">
        <v>16</v>
      </c>
      <c r="G892" s="5" t="s">
        <v>17</v>
      </c>
      <c r="H892" s="6">
        <v>0.0</v>
      </c>
    </row>
    <row r="893" spans="8:8" ht="23.85" hidden="1">
      <c r="A893" s="2">
        <v>1691.0</v>
      </c>
      <c r="B893" s="3" t="s">
        <v>431</v>
      </c>
      <c r="C893" s="3" t="s">
        <v>9</v>
      </c>
      <c r="D893" s="4" t="s">
        <v>14</v>
      </c>
      <c r="E893" s="4" t="s">
        <v>15</v>
      </c>
      <c r="F893" s="4" t="s">
        <v>16</v>
      </c>
      <c r="G893" s="5" t="s">
        <v>17</v>
      </c>
      <c r="H893" s="6">
        <v>0.0</v>
      </c>
    </row>
    <row r="894" spans="8:8" ht="23.85" hidden="1">
      <c r="A894" s="2">
        <v>1692.0</v>
      </c>
      <c r="B894" s="3" t="s">
        <v>431</v>
      </c>
      <c r="C894" s="3" t="s">
        <v>9</v>
      </c>
      <c r="D894" s="4" t="s">
        <v>14</v>
      </c>
      <c r="E894" s="4" t="s">
        <v>15</v>
      </c>
      <c r="F894" s="4" t="s">
        <v>16</v>
      </c>
      <c r="G894" s="5" t="s">
        <v>17</v>
      </c>
      <c r="H894" s="6">
        <v>0.0</v>
      </c>
    </row>
    <row r="895" spans="8:8" ht="23.85" hidden="1">
      <c r="A895" s="2">
        <v>1693.0</v>
      </c>
      <c r="B895" s="3" t="s">
        <v>431</v>
      </c>
      <c r="C895" s="3" t="s">
        <v>9</v>
      </c>
      <c r="D895" s="4" t="s">
        <v>14</v>
      </c>
      <c r="E895" s="4" t="s">
        <v>15</v>
      </c>
      <c r="F895" s="4" t="s">
        <v>16</v>
      </c>
      <c r="G895" s="5" t="s">
        <v>17</v>
      </c>
      <c r="H895" s="6">
        <v>0.0</v>
      </c>
    </row>
    <row r="896" spans="8:8" ht="23.85" hidden="1">
      <c r="A896" s="2">
        <v>1694.0</v>
      </c>
      <c r="B896" s="3" t="s">
        <v>431</v>
      </c>
      <c r="C896" s="3" t="s">
        <v>9</v>
      </c>
      <c r="D896" s="4" t="s">
        <v>14</v>
      </c>
      <c r="E896" s="4" t="s">
        <v>15</v>
      </c>
      <c r="F896" s="4" t="s">
        <v>16</v>
      </c>
      <c r="G896" s="5" t="s">
        <v>17</v>
      </c>
      <c r="H896" s="6">
        <v>0.0</v>
      </c>
    </row>
    <row r="897" spans="8:8" ht="15.0">
      <c r="A897" s="2">
        <v>1695.0</v>
      </c>
      <c r="B897" s="7" t="s">
        <v>431</v>
      </c>
      <c r="C897" s="7" t="s">
        <v>18</v>
      </c>
      <c r="D897" s="8" t="s">
        <v>464</v>
      </c>
      <c r="E897" s="8" t="s">
        <v>451</v>
      </c>
      <c r="F897" s="8" t="s">
        <v>69</v>
      </c>
      <c r="G897" s="9" t="s">
        <v>465</v>
      </c>
      <c r="H897" s="11">
        <v>2.0</v>
      </c>
    </row>
    <row r="898" spans="8:8" ht="23.85">
      <c r="A898" s="2">
        <v>1696.0</v>
      </c>
      <c r="B898" s="7" t="s">
        <v>431</v>
      </c>
      <c r="C898" s="7" t="s">
        <v>18</v>
      </c>
      <c r="D898" s="8" t="s">
        <v>466</v>
      </c>
      <c r="E898" s="8" t="s">
        <v>467</v>
      </c>
      <c r="F898" s="8" t="s">
        <v>69</v>
      </c>
      <c r="G898" s="9" t="s">
        <v>468</v>
      </c>
      <c r="H898" s="10">
        <v>3.0</v>
      </c>
    </row>
    <row r="899" spans="8:8" ht="23.85" hidden="1">
      <c r="A899" s="2">
        <v>1697.0</v>
      </c>
      <c r="B899" s="3" t="s">
        <v>431</v>
      </c>
      <c r="C899" s="3" t="s">
        <v>9</v>
      </c>
      <c r="D899" s="4" t="s">
        <v>14</v>
      </c>
      <c r="E899" s="4" t="s">
        <v>15</v>
      </c>
      <c r="F899" s="4" t="s">
        <v>16</v>
      </c>
      <c r="G899" s="5" t="s">
        <v>17</v>
      </c>
      <c r="H899" s="6">
        <v>0.0</v>
      </c>
    </row>
    <row r="900" spans="8:8" ht="23.85" hidden="1">
      <c r="A900" s="2">
        <v>1698.0</v>
      </c>
      <c r="B900" s="3" t="s">
        <v>431</v>
      </c>
      <c r="C900" s="3" t="s">
        <v>9</v>
      </c>
      <c r="D900" s="4" t="s">
        <v>14</v>
      </c>
      <c r="E900" s="4" t="s">
        <v>15</v>
      </c>
      <c r="F900" s="4" t="s">
        <v>16</v>
      </c>
      <c r="G900" s="5" t="s">
        <v>17</v>
      </c>
      <c r="H900" s="6">
        <v>0.0</v>
      </c>
    </row>
    <row r="901" spans="8:8" ht="23.85" hidden="1">
      <c r="A901" s="2">
        <v>1699.0</v>
      </c>
      <c r="B901" s="3" t="s">
        <v>431</v>
      </c>
      <c r="C901" s="3" t="s">
        <v>9</v>
      </c>
      <c r="D901" s="4" t="s">
        <v>14</v>
      </c>
      <c r="E901" s="4" t="s">
        <v>15</v>
      </c>
      <c r="F901" s="4" t="s">
        <v>16</v>
      </c>
      <c r="G901" s="5" t="s">
        <v>17</v>
      </c>
      <c r="H901" s="6">
        <v>0.0</v>
      </c>
    </row>
    <row r="902" spans="8:8" ht="23.85" hidden="1">
      <c r="A902" s="2">
        <v>1700.0</v>
      </c>
      <c r="B902" s="3" t="s">
        <v>431</v>
      </c>
      <c r="C902" s="3" t="s">
        <v>9</v>
      </c>
      <c r="D902" s="4" t="s">
        <v>14</v>
      </c>
      <c r="E902" s="4" t="s">
        <v>15</v>
      </c>
      <c r="F902" s="4" t="s">
        <v>16</v>
      </c>
      <c r="G902" s="5" t="s">
        <v>17</v>
      </c>
      <c r="H902" s="6">
        <v>0.0</v>
      </c>
    </row>
    <row r="903" spans="8:8" ht="23.85" hidden="1">
      <c r="A903" s="2">
        <v>1701.0</v>
      </c>
      <c r="B903" s="3" t="s">
        <v>431</v>
      </c>
      <c r="C903" s="3" t="s">
        <v>9</v>
      </c>
      <c r="D903" s="4" t="s">
        <v>14</v>
      </c>
      <c r="E903" s="4" t="s">
        <v>15</v>
      </c>
      <c r="F903" s="4" t="s">
        <v>16</v>
      </c>
      <c r="G903" s="5" t="s">
        <v>17</v>
      </c>
      <c r="H903" s="6">
        <v>0.0</v>
      </c>
    </row>
    <row r="904" spans="8:8" ht="23.85" hidden="1">
      <c r="A904" s="2">
        <v>1702.0</v>
      </c>
      <c r="B904" s="3" t="s">
        <v>431</v>
      </c>
      <c r="C904" s="3" t="s">
        <v>9</v>
      </c>
      <c r="D904" s="4" t="s">
        <v>14</v>
      </c>
      <c r="E904" s="4" t="s">
        <v>15</v>
      </c>
      <c r="F904" s="4" t="s">
        <v>16</v>
      </c>
      <c r="G904" s="5" t="s">
        <v>17</v>
      </c>
      <c r="H904" s="6">
        <v>0.0</v>
      </c>
    </row>
    <row r="905" spans="8:8" ht="23.85" hidden="1">
      <c r="A905" s="2">
        <v>1703.0</v>
      </c>
      <c r="B905" s="3" t="s">
        <v>431</v>
      </c>
      <c r="C905" s="3" t="s">
        <v>9</v>
      </c>
      <c r="D905" s="4" t="s">
        <v>14</v>
      </c>
      <c r="E905" s="4" t="s">
        <v>15</v>
      </c>
      <c r="F905" s="4" t="s">
        <v>16</v>
      </c>
      <c r="G905" s="5" t="s">
        <v>17</v>
      </c>
      <c r="H905" s="6">
        <v>0.0</v>
      </c>
    </row>
    <row r="906" spans="8:8" ht="23.85" hidden="1">
      <c r="A906" s="2">
        <v>1704.0</v>
      </c>
      <c r="B906" s="3" t="s">
        <v>431</v>
      </c>
      <c r="C906" s="3" t="s">
        <v>9</v>
      </c>
      <c r="D906" s="4" t="s">
        <v>14</v>
      </c>
      <c r="E906" s="4" t="s">
        <v>15</v>
      </c>
      <c r="F906" s="4" t="s">
        <v>16</v>
      </c>
      <c r="G906" s="5" t="s">
        <v>17</v>
      </c>
      <c r="H906" s="6">
        <v>0.0</v>
      </c>
    </row>
    <row r="907" spans="8:8" ht="23.85" hidden="1">
      <c r="A907" s="2">
        <v>1705.0</v>
      </c>
      <c r="B907" s="3" t="s">
        <v>431</v>
      </c>
      <c r="C907" s="3" t="s">
        <v>9</v>
      </c>
      <c r="D907" s="4" t="s">
        <v>14</v>
      </c>
      <c r="E907" s="4" t="s">
        <v>15</v>
      </c>
      <c r="F907" s="4" t="s">
        <v>16</v>
      </c>
      <c r="G907" s="5" t="s">
        <v>17</v>
      </c>
      <c r="H907" s="6">
        <v>0.0</v>
      </c>
    </row>
    <row r="908" spans="8:8" ht="23.85" hidden="1">
      <c r="A908" s="2">
        <v>1706.0</v>
      </c>
      <c r="B908" s="3" t="s">
        <v>431</v>
      </c>
      <c r="C908" s="3" t="s">
        <v>9</v>
      </c>
      <c r="D908" s="4" t="s">
        <v>14</v>
      </c>
      <c r="E908" s="4" t="s">
        <v>15</v>
      </c>
      <c r="F908" s="4" t="s">
        <v>16</v>
      </c>
      <c r="G908" s="5" t="s">
        <v>17</v>
      </c>
      <c r="H908" s="6">
        <v>0.0</v>
      </c>
    </row>
    <row r="909" spans="8:8" ht="23.85" hidden="1">
      <c r="A909" s="2">
        <v>1707.0</v>
      </c>
      <c r="B909" s="3" t="s">
        <v>431</v>
      </c>
      <c r="C909" s="3" t="s">
        <v>9</v>
      </c>
      <c r="D909" s="4" t="s">
        <v>14</v>
      </c>
      <c r="E909" s="4" t="s">
        <v>15</v>
      </c>
      <c r="F909" s="4" t="s">
        <v>16</v>
      </c>
      <c r="G909" s="5" t="s">
        <v>17</v>
      </c>
      <c r="H909" s="6">
        <v>0.0</v>
      </c>
    </row>
    <row r="910" spans="8:8" ht="23.85" hidden="1">
      <c r="A910" s="2">
        <v>1708.0</v>
      </c>
      <c r="B910" s="3" t="s">
        <v>431</v>
      </c>
      <c r="C910" s="3" t="s">
        <v>9</v>
      </c>
      <c r="D910" s="4" t="s">
        <v>14</v>
      </c>
      <c r="E910" s="4" t="s">
        <v>15</v>
      </c>
      <c r="F910" s="4" t="s">
        <v>16</v>
      </c>
      <c r="G910" s="5" t="s">
        <v>17</v>
      </c>
      <c r="H910" s="6">
        <v>0.0</v>
      </c>
    </row>
    <row r="911" spans="8:8" ht="23.85" hidden="1">
      <c r="A911" s="2">
        <v>1709.0</v>
      </c>
      <c r="B911" s="3" t="s">
        <v>431</v>
      </c>
      <c r="C911" s="3" t="s">
        <v>9</v>
      </c>
      <c r="D911" s="4" t="s">
        <v>14</v>
      </c>
      <c r="E911" s="4" t="s">
        <v>15</v>
      </c>
      <c r="F911" s="4" t="s">
        <v>16</v>
      </c>
      <c r="G911" s="5" t="s">
        <v>17</v>
      </c>
      <c r="H911" s="6">
        <v>0.0</v>
      </c>
    </row>
    <row r="912" spans="8:8" ht="23.85" hidden="1">
      <c r="A912" s="2">
        <v>1710.0</v>
      </c>
      <c r="B912" s="3" t="s">
        <v>431</v>
      </c>
      <c r="C912" s="3" t="s">
        <v>9</v>
      </c>
      <c r="D912" s="4" t="s">
        <v>14</v>
      </c>
      <c r="E912" s="4" t="s">
        <v>15</v>
      </c>
      <c r="F912" s="4" t="s">
        <v>16</v>
      </c>
      <c r="G912" s="5" t="s">
        <v>17</v>
      </c>
      <c r="H912" s="6">
        <v>0.0</v>
      </c>
    </row>
    <row r="913" spans="8:8" ht="23.85" hidden="1">
      <c r="A913" s="2">
        <v>1711.0</v>
      </c>
      <c r="B913" s="3" t="s">
        <v>431</v>
      </c>
      <c r="C913" s="3" t="s">
        <v>9</v>
      </c>
      <c r="D913" s="4" t="s">
        <v>14</v>
      </c>
      <c r="E913" s="4" t="s">
        <v>15</v>
      </c>
      <c r="F913" s="4" t="s">
        <v>16</v>
      </c>
      <c r="G913" s="5" t="s">
        <v>17</v>
      </c>
      <c r="H913" s="6">
        <v>0.0</v>
      </c>
    </row>
    <row r="914" spans="8:8" ht="23.85" hidden="1">
      <c r="A914" s="2">
        <v>1712.0</v>
      </c>
      <c r="B914" s="3" t="s">
        <v>431</v>
      </c>
      <c r="C914" s="3" t="s">
        <v>9</v>
      </c>
      <c r="D914" s="4" t="s">
        <v>14</v>
      </c>
      <c r="E914" s="4" t="s">
        <v>15</v>
      </c>
      <c r="F914" s="4" t="s">
        <v>16</v>
      </c>
      <c r="G914" s="5" t="s">
        <v>17</v>
      </c>
      <c r="H914" s="6">
        <v>0.0</v>
      </c>
    </row>
    <row r="915" spans="8:8" ht="23.85" hidden="1">
      <c r="A915" s="2">
        <v>1713.0</v>
      </c>
      <c r="B915" s="3" t="s">
        <v>431</v>
      </c>
      <c r="C915" s="3" t="s">
        <v>9</v>
      </c>
      <c r="D915" s="4" t="s">
        <v>14</v>
      </c>
      <c r="E915" s="4" t="s">
        <v>15</v>
      </c>
      <c r="F915" s="4" t="s">
        <v>16</v>
      </c>
      <c r="G915" s="5" t="s">
        <v>17</v>
      </c>
      <c r="H915" s="6">
        <v>0.0</v>
      </c>
    </row>
    <row r="916" spans="8:8" ht="23.85" hidden="1">
      <c r="A916" s="2">
        <v>1714.0</v>
      </c>
      <c r="B916" s="3" t="s">
        <v>431</v>
      </c>
      <c r="C916" s="3" t="s">
        <v>9</v>
      </c>
      <c r="D916" s="4" t="s">
        <v>14</v>
      </c>
      <c r="E916" s="4" t="s">
        <v>15</v>
      </c>
      <c r="F916" s="4" t="s">
        <v>16</v>
      </c>
      <c r="G916" s="5" t="s">
        <v>17</v>
      </c>
      <c r="H916" s="6">
        <v>0.0</v>
      </c>
    </row>
    <row r="917" spans="8:8" ht="23.85" hidden="1">
      <c r="A917" s="2">
        <v>1715.0</v>
      </c>
      <c r="B917" s="3" t="s">
        <v>431</v>
      </c>
      <c r="C917" s="3" t="s">
        <v>9</v>
      </c>
      <c r="D917" s="4" t="s">
        <v>14</v>
      </c>
      <c r="E917" s="4" t="s">
        <v>15</v>
      </c>
      <c r="F917" s="4" t="s">
        <v>16</v>
      </c>
      <c r="G917" s="5" t="s">
        <v>17</v>
      </c>
      <c r="H917" s="6">
        <v>0.0</v>
      </c>
    </row>
    <row r="918" spans="8:8" ht="23.85" hidden="1">
      <c r="A918" s="2">
        <v>1716.0</v>
      </c>
      <c r="B918" s="3" t="s">
        <v>431</v>
      </c>
      <c r="C918" s="3" t="s">
        <v>9</v>
      </c>
      <c r="D918" s="4" t="s">
        <v>14</v>
      </c>
      <c r="E918" s="4" t="s">
        <v>15</v>
      </c>
      <c r="F918" s="4" t="s">
        <v>16</v>
      </c>
      <c r="G918" s="5" t="s">
        <v>17</v>
      </c>
      <c r="H918" s="6">
        <v>0.0</v>
      </c>
    </row>
    <row r="919" spans="8:8" ht="23.85" hidden="1">
      <c r="A919" s="2">
        <v>1717.0</v>
      </c>
      <c r="B919" s="3" t="s">
        <v>431</v>
      </c>
      <c r="C919" s="3" t="s">
        <v>9</v>
      </c>
      <c r="D919" s="4" t="s">
        <v>14</v>
      </c>
      <c r="E919" s="4" t="s">
        <v>15</v>
      </c>
      <c r="F919" s="4" t="s">
        <v>16</v>
      </c>
      <c r="G919" s="5" t="s">
        <v>17</v>
      </c>
      <c r="H919" s="6">
        <v>0.0</v>
      </c>
    </row>
    <row r="920" spans="8:8" ht="23.85" hidden="1">
      <c r="A920" s="2">
        <v>1718.0</v>
      </c>
      <c r="B920" s="3" t="s">
        <v>431</v>
      </c>
      <c r="C920" s="3" t="s">
        <v>9</v>
      </c>
      <c r="D920" s="4" t="s">
        <v>14</v>
      </c>
      <c r="E920" s="4" t="s">
        <v>15</v>
      </c>
      <c r="F920" s="4" t="s">
        <v>16</v>
      </c>
      <c r="G920" s="5" t="s">
        <v>17</v>
      </c>
      <c r="H920" s="6">
        <v>0.0</v>
      </c>
    </row>
    <row r="921" spans="8:8" ht="15.0">
      <c r="A921" s="2">
        <v>1719.0</v>
      </c>
      <c r="B921" s="7" t="s">
        <v>431</v>
      </c>
      <c r="C921" s="12" t="s">
        <v>18</v>
      </c>
      <c r="D921" s="8" t="s">
        <v>469</v>
      </c>
      <c r="E921" s="8" t="s">
        <v>451</v>
      </c>
      <c r="F921" s="8" t="s">
        <v>214</v>
      </c>
      <c r="G921" s="9" t="s">
        <v>470</v>
      </c>
      <c r="H921" s="13">
        <v>4.0</v>
      </c>
    </row>
    <row r="922" spans="8:8" ht="23.85">
      <c r="A922" s="2">
        <v>1720.0</v>
      </c>
      <c r="B922" s="7" t="s">
        <v>431</v>
      </c>
      <c r="C922" s="12" t="s">
        <v>18</v>
      </c>
      <c r="D922" s="8" t="s">
        <v>471</v>
      </c>
      <c r="E922" s="8" t="s">
        <v>454</v>
      </c>
      <c r="F922" s="8" t="s">
        <v>472</v>
      </c>
      <c r="G922" s="9" t="s">
        <v>473</v>
      </c>
      <c r="H922" s="15">
        <v>5.0</v>
      </c>
    </row>
    <row r="923" spans="8:8" ht="23.85">
      <c r="A923" s="2">
        <v>1721.0</v>
      </c>
      <c r="B923" s="7" t="s">
        <v>474</v>
      </c>
      <c r="C923" s="7" t="s">
        <v>18</v>
      </c>
      <c r="D923" s="8" t="s">
        <v>475</v>
      </c>
      <c r="E923" s="8" t="s">
        <v>476</v>
      </c>
      <c r="F923" s="8" t="s">
        <v>477</v>
      </c>
      <c r="G923" s="9" t="s">
        <v>478</v>
      </c>
      <c r="H923" s="10">
        <v>3.0</v>
      </c>
    </row>
    <row r="924" spans="8:8" ht="23.85" hidden="1">
      <c r="A924" s="2">
        <v>1722.0</v>
      </c>
      <c r="B924" s="3" t="s">
        <v>474</v>
      </c>
      <c r="C924" s="3" t="s">
        <v>9</v>
      </c>
      <c r="D924" s="4" t="s">
        <v>14</v>
      </c>
      <c r="E924" s="4" t="s">
        <v>15</v>
      </c>
      <c r="F924" s="4" t="s">
        <v>16</v>
      </c>
      <c r="G924" s="5" t="s">
        <v>17</v>
      </c>
      <c r="H924" s="6">
        <v>0.0</v>
      </c>
    </row>
    <row r="925" spans="8:8" ht="23.85" hidden="1">
      <c r="A925" s="2">
        <v>1723.0</v>
      </c>
      <c r="B925" s="3" t="s">
        <v>474</v>
      </c>
      <c r="C925" s="3" t="s">
        <v>9</v>
      </c>
      <c r="D925" s="4" t="s">
        <v>14</v>
      </c>
      <c r="E925" s="4" t="s">
        <v>15</v>
      </c>
      <c r="F925" s="4" t="s">
        <v>16</v>
      </c>
      <c r="G925" s="5" t="s">
        <v>17</v>
      </c>
      <c r="H925" s="6">
        <v>0.0</v>
      </c>
    </row>
    <row r="926" spans="8:8" ht="23.85" hidden="1">
      <c r="A926" s="2">
        <v>1724.0</v>
      </c>
      <c r="B926" s="3" t="s">
        <v>474</v>
      </c>
      <c r="C926" s="3" t="s">
        <v>9</v>
      </c>
      <c r="D926" s="4" t="s">
        <v>14</v>
      </c>
      <c r="E926" s="4" t="s">
        <v>15</v>
      </c>
      <c r="F926" s="4" t="s">
        <v>16</v>
      </c>
      <c r="G926" s="5" t="s">
        <v>17</v>
      </c>
      <c r="H926" s="6">
        <v>0.0</v>
      </c>
    </row>
    <row r="927" spans="8:8" ht="23.85" hidden="1">
      <c r="A927" s="2">
        <v>1725.0</v>
      </c>
      <c r="B927" s="3" t="s">
        <v>474</v>
      </c>
      <c r="C927" s="3" t="s">
        <v>9</v>
      </c>
      <c r="D927" s="4" t="s">
        <v>14</v>
      </c>
      <c r="E927" s="4" t="s">
        <v>15</v>
      </c>
      <c r="F927" s="4" t="s">
        <v>16</v>
      </c>
      <c r="G927" s="5" t="s">
        <v>17</v>
      </c>
      <c r="H927" s="6">
        <v>0.0</v>
      </c>
    </row>
    <row r="928" spans="8:8" ht="23.85" hidden="1">
      <c r="A928" s="2">
        <v>1726.0</v>
      </c>
      <c r="B928" s="3" t="s">
        <v>474</v>
      </c>
      <c r="C928" s="3" t="s">
        <v>9</v>
      </c>
      <c r="D928" s="4" t="s">
        <v>14</v>
      </c>
      <c r="E928" s="4" t="s">
        <v>15</v>
      </c>
      <c r="F928" s="4" t="s">
        <v>16</v>
      </c>
      <c r="G928" s="5" t="s">
        <v>17</v>
      </c>
      <c r="H928" s="6">
        <v>0.0</v>
      </c>
    </row>
    <row r="929" spans="8:8" ht="23.85" hidden="1">
      <c r="A929" s="2">
        <v>1727.0</v>
      </c>
      <c r="B929" s="3" t="s">
        <v>474</v>
      </c>
      <c r="C929" s="3" t="s">
        <v>9</v>
      </c>
      <c r="D929" s="4" t="s">
        <v>14</v>
      </c>
      <c r="E929" s="4" t="s">
        <v>15</v>
      </c>
      <c r="F929" s="4" t="s">
        <v>16</v>
      </c>
      <c r="G929" s="5" t="s">
        <v>17</v>
      </c>
      <c r="H929" s="6">
        <v>0.0</v>
      </c>
    </row>
    <row r="930" spans="8:8" ht="23.85" hidden="1">
      <c r="A930" s="2">
        <v>1728.0</v>
      </c>
      <c r="B930" s="3" t="s">
        <v>474</v>
      </c>
      <c r="C930" s="3" t="s">
        <v>9</v>
      </c>
      <c r="D930" s="4" t="s">
        <v>14</v>
      </c>
      <c r="E930" s="4" t="s">
        <v>15</v>
      </c>
      <c r="F930" s="4" t="s">
        <v>16</v>
      </c>
      <c r="G930" s="5" t="s">
        <v>17</v>
      </c>
      <c r="H930" s="6">
        <v>0.0</v>
      </c>
    </row>
    <row r="931" spans="8:8" ht="23.85" hidden="1">
      <c r="A931" s="2">
        <v>1729.0</v>
      </c>
      <c r="B931" s="3" t="s">
        <v>474</v>
      </c>
      <c r="C931" s="3" t="s">
        <v>9</v>
      </c>
      <c r="D931" s="4" t="s">
        <v>14</v>
      </c>
      <c r="E931" s="4" t="s">
        <v>15</v>
      </c>
      <c r="F931" s="4" t="s">
        <v>16</v>
      </c>
      <c r="G931" s="5" t="s">
        <v>17</v>
      </c>
      <c r="H931" s="6">
        <v>0.0</v>
      </c>
    </row>
    <row r="932" spans="8:8" ht="23.85" hidden="1">
      <c r="A932" s="2">
        <v>1730.0</v>
      </c>
      <c r="B932" s="3" t="s">
        <v>474</v>
      </c>
      <c r="C932" s="3" t="s">
        <v>9</v>
      </c>
      <c r="D932" s="4" t="s">
        <v>14</v>
      </c>
      <c r="E932" s="4" t="s">
        <v>15</v>
      </c>
      <c r="F932" s="4" t="s">
        <v>16</v>
      </c>
      <c r="G932" s="5" t="s">
        <v>17</v>
      </c>
      <c r="H932" s="6">
        <v>0.0</v>
      </c>
    </row>
    <row r="933" spans="8:8" ht="23.85" hidden="1">
      <c r="A933" s="2">
        <v>1731.0</v>
      </c>
      <c r="B933" s="3" t="s">
        <v>474</v>
      </c>
      <c r="C933" s="3" t="s">
        <v>9</v>
      </c>
      <c r="D933" s="4" t="s">
        <v>14</v>
      </c>
      <c r="E933" s="4" t="s">
        <v>15</v>
      </c>
      <c r="F933" s="4" t="s">
        <v>16</v>
      </c>
      <c r="G933" s="5" t="s">
        <v>17</v>
      </c>
      <c r="H933" s="6">
        <v>0.0</v>
      </c>
    </row>
    <row r="934" spans="8:8" ht="23.85" hidden="1">
      <c r="A934" s="2">
        <v>1732.0</v>
      </c>
      <c r="B934" s="3" t="s">
        <v>474</v>
      </c>
      <c r="C934" s="3" t="s">
        <v>9</v>
      </c>
      <c r="D934" s="4" t="s">
        <v>14</v>
      </c>
      <c r="E934" s="4" t="s">
        <v>15</v>
      </c>
      <c r="F934" s="4" t="s">
        <v>16</v>
      </c>
      <c r="G934" s="5" t="s">
        <v>17</v>
      </c>
      <c r="H934" s="6">
        <v>0.0</v>
      </c>
    </row>
    <row r="935" spans="8:8" ht="23.85" hidden="1">
      <c r="A935" s="2">
        <v>1733.0</v>
      </c>
      <c r="B935" s="3" t="s">
        <v>474</v>
      </c>
      <c r="C935" s="3" t="s">
        <v>9</v>
      </c>
      <c r="D935" s="4" t="s">
        <v>14</v>
      </c>
      <c r="E935" s="4" t="s">
        <v>15</v>
      </c>
      <c r="F935" s="4" t="s">
        <v>16</v>
      </c>
      <c r="G935" s="5" t="s">
        <v>17</v>
      </c>
      <c r="H935" s="6">
        <v>0.0</v>
      </c>
    </row>
    <row r="936" spans="8:8" ht="23.85" hidden="1">
      <c r="A936" s="2">
        <v>1734.0</v>
      </c>
      <c r="B936" s="3" t="s">
        <v>474</v>
      </c>
      <c r="C936" s="3" t="s">
        <v>9</v>
      </c>
      <c r="D936" s="4" t="s">
        <v>14</v>
      </c>
      <c r="E936" s="4" t="s">
        <v>15</v>
      </c>
      <c r="F936" s="4" t="s">
        <v>16</v>
      </c>
      <c r="G936" s="5" t="s">
        <v>17</v>
      </c>
      <c r="H936" s="6">
        <v>0.0</v>
      </c>
    </row>
    <row r="937" spans="8:8" ht="23.85" hidden="1">
      <c r="A937" s="2">
        <v>1735.0</v>
      </c>
      <c r="B937" s="3" t="s">
        <v>474</v>
      </c>
      <c r="C937" s="3" t="s">
        <v>9</v>
      </c>
      <c r="D937" s="4" t="s">
        <v>14</v>
      </c>
      <c r="E937" s="4" t="s">
        <v>15</v>
      </c>
      <c r="F937" s="4" t="s">
        <v>16</v>
      </c>
      <c r="G937" s="5" t="s">
        <v>17</v>
      </c>
      <c r="H937" s="6">
        <v>0.0</v>
      </c>
    </row>
    <row r="938" spans="8:8" ht="23.85" hidden="1">
      <c r="A938" s="2">
        <v>1736.0</v>
      </c>
      <c r="B938" s="3" t="s">
        <v>474</v>
      </c>
      <c r="C938" s="3" t="s">
        <v>9</v>
      </c>
      <c r="D938" s="4" t="s">
        <v>14</v>
      </c>
      <c r="E938" s="4" t="s">
        <v>15</v>
      </c>
      <c r="F938" s="4" t="s">
        <v>16</v>
      </c>
      <c r="G938" s="5" t="s">
        <v>17</v>
      </c>
      <c r="H938" s="6">
        <v>0.0</v>
      </c>
    </row>
    <row r="939" spans="8:8" ht="23.85" hidden="1">
      <c r="A939" s="2">
        <v>1737.0</v>
      </c>
      <c r="B939" s="3" t="s">
        <v>474</v>
      </c>
      <c r="C939" s="3" t="s">
        <v>9</v>
      </c>
      <c r="D939" s="4" t="s">
        <v>14</v>
      </c>
      <c r="E939" s="4" t="s">
        <v>15</v>
      </c>
      <c r="F939" s="4" t="s">
        <v>16</v>
      </c>
      <c r="G939" s="5" t="s">
        <v>17</v>
      </c>
      <c r="H939" s="6">
        <v>0.0</v>
      </c>
    </row>
    <row r="940" spans="8:8" ht="23.85" hidden="1">
      <c r="A940" s="2">
        <v>1738.0</v>
      </c>
      <c r="B940" s="3" t="s">
        <v>474</v>
      </c>
      <c r="C940" s="3" t="s">
        <v>9</v>
      </c>
      <c r="D940" s="4" t="s">
        <v>14</v>
      </c>
      <c r="E940" s="4" t="s">
        <v>15</v>
      </c>
      <c r="F940" s="4" t="s">
        <v>16</v>
      </c>
      <c r="G940" s="5" t="s">
        <v>17</v>
      </c>
      <c r="H940" s="6">
        <v>0.0</v>
      </c>
    </row>
    <row r="941" spans="8:8" ht="23.85" hidden="1">
      <c r="A941" s="2">
        <v>1739.0</v>
      </c>
      <c r="B941" s="3" t="s">
        <v>474</v>
      </c>
      <c r="C941" s="3" t="s">
        <v>9</v>
      </c>
      <c r="D941" s="4" t="s">
        <v>14</v>
      </c>
      <c r="E941" s="4" t="s">
        <v>15</v>
      </c>
      <c r="F941" s="4" t="s">
        <v>16</v>
      </c>
      <c r="G941" s="5" t="s">
        <v>17</v>
      </c>
      <c r="H941" s="6">
        <v>0.0</v>
      </c>
    </row>
    <row r="942" spans="8:8" ht="23.85" hidden="1">
      <c r="A942" s="2">
        <v>1740.0</v>
      </c>
      <c r="B942" s="3" t="s">
        <v>474</v>
      </c>
      <c r="C942" s="3" t="s">
        <v>9</v>
      </c>
      <c r="D942" s="4" t="s">
        <v>14</v>
      </c>
      <c r="E942" s="4" t="s">
        <v>15</v>
      </c>
      <c r="F942" s="4" t="s">
        <v>16</v>
      </c>
      <c r="G942" s="5" t="s">
        <v>17</v>
      </c>
      <c r="H942" s="6">
        <v>0.0</v>
      </c>
    </row>
    <row r="943" spans="8:8" ht="23.85" hidden="1">
      <c r="A943" s="2">
        <v>1741.0</v>
      </c>
      <c r="B943" s="3" t="s">
        <v>474</v>
      </c>
      <c r="C943" s="3" t="s">
        <v>9</v>
      </c>
      <c r="D943" s="4" t="s">
        <v>14</v>
      </c>
      <c r="E943" s="4" t="s">
        <v>15</v>
      </c>
      <c r="F943" s="4" t="s">
        <v>16</v>
      </c>
      <c r="G943" s="5" t="s">
        <v>17</v>
      </c>
      <c r="H943" s="6">
        <v>0.0</v>
      </c>
    </row>
    <row r="944" spans="8:8" ht="23.85" hidden="1">
      <c r="A944" s="2">
        <v>1742.0</v>
      </c>
      <c r="B944" s="3" t="s">
        <v>474</v>
      </c>
      <c r="C944" s="3" t="s">
        <v>9</v>
      </c>
      <c r="D944" s="4" t="s">
        <v>14</v>
      </c>
      <c r="E944" s="4" t="s">
        <v>15</v>
      </c>
      <c r="F944" s="4" t="s">
        <v>16</v>
      </c>
      <c r="G944" s="5" t="s">
        <v>17</v>
      </c>
      <c r="H944" s="6">
        <v>0.0</v>
      </c>
    </row>
    <row r="945" spans="8:8" ht="23.85" hidden="1">
      <c r="A945" s="2">
        <v>1743.0</v>
      </c>
      <c r="B945" s="3" t="s">
        <v>474</v>
      </c>
      <c r="C945" s="3" t="s">
        <v>9</v>
      </c>
      <c r="D945" s="4" t="s">
        <v>14</v>
      </c>
      <c r="E945" s="4" t="s">
        <v>15</v>
      </c>
      <c r="F945" s="4" t="s">
        <v>16</v>
      </c>
      <c r="G945" s="5" t="s">
        <v>17</v>
      </c>
      <c r="H945" s="6">
        <v>0.0</v>
      </c>
    </row>
    <row r="946" spans="8:8" ht="23.85" hidden="1">
      <c r="A946" s="2">
        <v>1744.0</v>
      </c>
      <c r="B946" s="3" t="s">
        <v>474</v>
      </c>
      <c r="C946" s="3" t="s">
        <v>9</v>
      </c>
      <c r="D946" s="4" t="s">
        <v>14</v>
      </c>
      <c r="E946" s="4" t="s">
        <v>15</v>
      </c>
      <c r="F946" s="4" t="s">
        <v>16</v>
      </c>
      <c r="G946" s="5" t="s">
        <v>17</v>
      </c>
      <c r="H946" s="6">
        <v>0.0</v>
      </c>
    </row>
    <row r="947" spans="8:8" ht="15.0">
      <c r="A947" s="2">
        <v>1745.0</v>
      </c>
      <c r="B947" s="7" t="s">
        <v>474</v>
      </c>
      <c r="C947" s="7" t="s">
        <v>18</v>
      </c>
      <c r="D947" s="8" t="s">
        <v>479</v>
      </c>
      <c r="E947" s="8" t="s">
        <v>459</v>
      </c>
      <c r="F947" s="8" t="s">
        <v>477</v>
      </c>
      <c r="G947" s="9" t="s">
        <v>480</v>
      </c>
      <c r="H947" s="11">
        <v>2.0</v>
      </c>
    </row>
    <row r="948" spans="8:8" ht="23.85" hidden="1">
      <c r="A948" s="2">
        <v>1746.0</v>
      </c>
      <c r="B948" s="3" t="s">
        <v>474</v>
      </c>
      <c r="C948" s="3" t="s">
        <v>9</v>
      </c>
      <c r="D948" s="4" t="s">
        <v>14</v>
      </c>
      <c r="E948" s="4" t="s">
        <v>15</v>
      </c>
      <c r="F948" s="4" t="s">
        <v>16</v>
      </c>
      <c r="G948" s="5" t="s">
        <v>17</v>
      </c>
      <c r="H948" s="6">
        <v>0.0</v>
      </c>
    </row>
    <row r="949" spans="8:8" ht="23.85" hidden="1">
      <c r="A949" s="2">
        <v>1747.0</v>
      </c>
      <c r="B949" s="3" t="s">
        <v>474</v>
      </c>
      <c r="C949" s="3" t="s">
        <v>9</v>
      </c>
      <c r="D949" s="4" t="s">
        <v>14</v>
      </c>
      <c r="E949" s="4" t="s">
        <v>15</v>
      </c>
      <c r="F949" s="4" t="s">
        <v>16</v>
      </c>
      <c r="G949" s="5" t="s">
        <v>17</v>
      </c>
      <c r="H949" s="6">
        <v>0.0</v>
      </c>
    </row>
    <row r="950" spans="8:8" ht="23.85" hidden="1">
      <c r="A950" s="2">
        <v>1748.0</v>
      </c>
      <c r="B950" s="3" t="s">
        <v>474</v>
      </c>
      <c r="C950" s="3" t="s">
        <v>9</v>
      </c>
      <c r="D950" s="4" t="s">
        <v>14</v>
      </c>
      <c r="E950" s="4" t="s">
        <v>15</v>
      </c>
      <c r="F950" s="4" t="s">
        <v>16</v>
      </c>
      <c r="G950" s="5" t="s">
        <v>17</v>
      </c>
      <c r="H950" s="6">
        <v>0.0</v>
      </c>
    </row>
    <row r="951" spans="8:8" ht="23.85" hidden="1">
      <c r="A951" s="2">
        <v>1749.0</v>
      </c>
      <c r="B951" s="3" t="s">
        <v>474</v>
      </c>
      <c r="C951" s="3" t="s">
        <v>9</v>
      </c>
      <c r="D951" s="4" t="s">
        <v>14</v>
      </c>
      <c r="E951" s="4" t="s">
        <v>15</v>
      </c>
      <c r="F951" s="4" t="s">
        <v>16</v>
      </c>
      <c r="G951" s="5" t="s">
        <v>17</v>
      </c>
      <c r="H951" s="6">
        <v>0.0</v>
      </c>
    </row>
    <row r="952" spans="8:8" ht="23.85" hidden="1">
      <c r="A952" s="2">
        <v>1750.0</v>
      </c>
      <c r="B952" s="3" t="s">
        <v>474</v>
      </c>
      <c r="C952" s="3" t="s">
        <v>9</v>
      </c>
      <c r="D952" s="4" t="s">
        <v>14</v>
      </c>
      <c r="E952" s="4" t="s">
        <v>15</v>
      </c>
      <c r="F952" s="4" t="s">
        <v>16</v>
      </c>
      <c r="G952" s="5" t="s">
        <v>17</v>
      </c>
      <c r="H952" s="6">
        <v>0.0</v>
      </c>
    </row>
    <row r="953" spans="8:8" ht="23.85" hidden="1">
      <c r="A953" s="2">
        <v>1751.0</v>
      </c>
      <c r="B953" s="3" t="s">
        <v>474</v>
      </c>
      <c r="C953" s="3" t="s">
        <v>9</v>
      </c>
      <c r="D953" s="4" t="s">
        <v>14</v>
      </c>
      <c r="E953" s="4" t="s">
        <v>15</v>
      </c>
      <c r="F953" s="4" t="s">
        <v>16</v>
      </c>
      <c r="G953" s="5" t="s">
        <v>17</v>
      </c>
      <c r="H953" s="6">
        <v>0.0</v>
      </c>
    </row>
    <row r="954" spans="8:8" ht="23.85" hidden="1">
      <c r="A954" s="2">
        <v>1752.0</v>
      </c>
      <c r="B954" s="3" t="s">
        <v>474</v>
      </c>
      <c r="C954" s="3" t="s">
        <v>9</v>
      </c>
      <c r="D954" s="4" t="s">
        <v>14</v>
      </c>
      <c r="E954" s="4" t="s">
        <v>15</v>
      </c>
      <c r="F954" s="4" t="s">
        <v>16</v>
      </c>
      <c r="G954" s="5" t="s">
        <v>17</v>
      </c>
      <c r="H954" s="6">
        <v>0.0</v>
      </c>
    </row>
    <row r="955" spans="8:8" ht="23.85" hidden="1">
      <c r="A955" s="2">
        <v>1753.0</v>
      </c>
      <c r="B955" s="3" t="s">
        <v>474</v>
      </c>
      <c r="C955" s="3" t="s">
        <v>9</v>
      </c>
      <c r="D955" s="4" t="s">
        <v>14</v>
      </c>
      <c r="E955" s="4" t="s">
        <v>15</v>
      </c>
      <c r="F955" s="4" t="s">
        <v>16</v>
      </c>
      <c r="G955" s="5" t="s">
        <v>17</v>
      </c>
      <c r="H955" s="6">
        <v>0.0</v>
      </c>
    </row>
    <row r="956" spans="8:8" ht="23.85" hidden="1">
      <c r="A956" s="2">
        <v>1754.0</v>
      </c>
      <c r="B956" s="3" t="s">
        <v>474</v>
      </c>
      <c r="C956" s="3" t="s">
        <v>9</v>
      </c>
      <c r="D956" s="4" t="s">
        <v>14</v>
      </c>
      <c r="E956" s="4" t="s">
        <v>15</v>
      </c>
      <c r="F956" s="4" t="s">
        <v>16</v>
      </c>
      <c r="G956" s="5" t="s">
        <v>17</v>
      </c>
      <c r="H956" s="6">
        <v>0.0</v>
      </c>
    </row>
    <row r="957" spans="8:8" ht="23.85" hidden="1">
      <c r="A957" s="2">
        <v>1755.0</v>
      </c>
      <c r="B957" s="3" t="s">
        <v>474</v>
      </c>
      <c r="C957" s="3" t="s">
        <v>9</v>
      </c>
      <c r="D957" s="4" t="s">
        <v>14</v>
      </c>
      <c r="E957" s="4" t="s">
        <v>15</v>
      </c>
      <c r="F957" s="4" t="s">
        <v>16</v>
      </c>
      <c r="G957" s="5" t="s">
        <v>17</v>
      </c>
      <c r="H957" s="6">
        <v>0.0</v>
      </c>
    </row>
    <row r="958" spans="8:8" ht="23.85" hidden="1">
      <c r="A958" s="2">
        <v>1756.0</v>
      </c>
      <c r="B958" s="3" t="s">
        <v>474</v>
      </c>
      <c r="C958" s="3" t="s">
        <v>9</v>
      </c>
      <c r="D958" s="4" t="s">
        <v>14</v>
      </c>
      <c r="E958" s="4" t="s">
        <v>15</v>
      </c>
      <c r="F958" s="4" t="s">
        <v>16</v>
      </c>
      <c r="G958" s="5" t="s">
        <v>17</v>
      </c>
      <c r="H958" s="6">
        <v>0.0</v>
      </c>
    </row>
    <row r="959" spans="8:8" ht="23.85" hidden="1">
      <c r="A959" s="2">
        <v>1757.0</v>
      </c>
      <c r="B959" s="3" t="s">
        <v>474</v>
      </c>
      <c r="C959" s="3" t="s">
        <v>9</v>
      </c>
      <c r="D959" s="4" t="s">
        <v>14</v>
      </c>
      <c r="E959" s="4" t="s">
        <v>15</v>
      </c>
      <c r="F959" s="4" t="s">
        <v>16</v>
      </c>
      <c r="G959" s="5" t="s">
        <v>17</v>
      </c>
      <c r="H959" s="6">
        <v>0.0</v>
      </c>
    </row>
    <row r="960" spans="8:8" ht="23.85" hidden="1">
      <c r="A960" s="2">
        <v>1758.0</v>
      </c>
      <c r="B960" s="3" t="s">
        <v>474</v>
      </c>
      <c r="C960" s="3" t="s">
        <v>9</v>
      </c>
      <c r="D960" s="4" t="s">
        <v>14</v>
      </c>
      <c r="E960" s="4" t="s">
        <v>15</v>
      </c>
      <c r="F960" s="4" t="s">
        <v>16</v>
      </c>
      <c r="G960" s="5" t="s">
        <v>17</v>
      </c>
      <c r="H960" s="6">
        <v>0.0</v>
      </c>
    </row>
    <row r="961" spans="8:8" ht="23.85" hidden="1">
      <c r="A961" s="2">
        <v>1759.0</v>
      </c>
      <c r="B961" s="3" t="s">
        <v>474</v>
      </c>
      <c r="C961" s="3" t="s">
        <v>9</v>
      </c>
      <c r="D961" s="4" t="s">
        <v>14</v>
      </c>
      <c r="E961" s="4" t="s">
        <v>15</v>
      </c>
      <c r="F961" s="4" t="s">
        <v>16</v>
      </c>
      <c r="G961" s="5" t="s">
        <v>17</v>
      </c>
      <c r="H961" s="6">
        <v>0.0</v>
      </c>
    </row>
    <row r="962" spans="8:8" ht="23.85" hidden="1">
      <c r="A962" s="2">
        <v>1760.0</v>
      </c>
      <c r="B962" s="3" t="s">
        <v>474</v>
      </c>
      <c r="C962" s="3" t="s">
        <v>9</v>
      </c>
      <c r="D962" s="4" t="s">
        <v>14</v>
      </c>
      <c r="E962" s="4" t="s">
        <v>15</v>
      </c>
      <c r="F962" s="4" t="s">
        <v>16</v>
      </c>
      <c r="G962" s="5" t="s">
        <v>17</v>
      </c>
      <c r="H962" s="6">
        <v>0.0</v>
      </c>
    </row>
    <row r="963" spans="8:8" ht="23.85" hidden="1">
      <c r="A963" s="2">
        <v>1761.0</v>
      </c>
      <c r="B963" s="3" t="s">
        <v>474</v>
      </c>
      <c r="C963" s="3" t="s">
        <v>9</v>
      </c>
      <c r="D963" s="4" t="s">
        <v>14</v>
      </c>
      <c r="E963" s="4" t="s">
        <v>15</v>
      </c>
      <c r="F963" s="4" t="s">
        <v>16</v>
      </c>
      <c r="G963" s="5" t="s">
        <v>17</v>
      </c>
      <c r="H963" s="6">
        <v>0.0</v>
      </c>
    </row>
    <row r="964" spans="8:8" ht="23.85" hidden="1">
      <c r="A964" s="2">
        <v>1762.0</v>
      </c>
      <c r="B964" s="3" t="s">
        <v>474</v>
      </c>
      <c r="C964" s="3" t="s">
        <v>9</v>
      </c>
      <c r="D964" s="4" t="s">
        <v>14</v>
      </c>
      <c r="E964" s="4" t="s">
        <v>15</v>
      </c>
      <c r="F964" s="4" t="s">
        <v>16</v>
      </c>
      <c r="G964" s="5" t="s">
        <v>17</v>
      </c>
      <c r="H964" s="6">
        <v>0.0</v>
      </c>
    </row>
    <row r="965" spans="8:8" ht="23.85">
      <c r="A965" s="2">
        <v>1763.0</v>
      </c>
      <c r="B965" s="7" t="s">
        <v>474</v>
      </c>
      <c r="C965" s="12" t="s">
        <v>18</v>
      </c>
      <c r="D965" s="8" t="s">
        <v>481</v>
      </c>
      <c r="E965" s="8" t="s">
        <v>285</v>
      </c>
      <c r="F965" s="8" t="s">
        <v>482</v>
      </c>
      <c r="G965" s="9" t="s">
        <v>483</v>
      </c>
      <c r="H965" s="13">
        <v>4.0</v>
      </c>
    </row>
    <row r="966" spans="8:8" ht="23.85" hidden="1">
      <c r="A966" s="2">
        <v>1764.0</v>
      </c>
      <c r="B966" s="3" t="s">
        <v>474</v>
      </c>
      <c r="C966" s="3" t="s">
        <v>9</v>
      </c>
      <c r="D966" s="4" t="s">
        <v>14</v>
      </c>
      <c r="E966" s="4" t="s">
        <v>15</v>
      </c>
      <c r="F966" s="4" t="s">
        <v>16</v>
      </c>
      <c r="G966" s="5" t="s">
        <v>17</v>
      </c>
      <c r="H966" s="6">
        <v>0.0</v>
      </c>
    </row>
    <row r="967" spans="8:8" ht="23.85" hidden="1">
      <c r="A967" s="2">
        <v>1765.0</v>
      </c>
      <c r="B967" s="3" t="s">
        <v>474</v>
      </c>
      <c r="C967" s="3" t="s">
        <v>9</v>
      </c>
      <c r="D967" s="4" t="s">
        <v>14</v>
      </c>
      <c r="E967" s="4" t="s">
        <v>15</v>
      </c>
      <c r="F967" s="4" t="s">
        <v>16</v>
      </c>
      <c r="G967" s="5" t="s">
        <v>17</v>
      </c>
      <c r="H967" s="6">
        <v>0.0</v>
      </c>
    </row>
    <row r="968" spans="8:8" ht="23.85" hidden="1">
      <c r="A968" s="2">
        <v>1766.0</v>
      </c>
      <c r="B968" s="3" t="s">
        <v>474</v>
      </c>
      <c r="C968" s="3" t="s">
        <v>9</v>
      </c>
      <c r="D968" s="4" t="s">
        <v>14</v>
      </c>
      <c r="E968" s="4" t="s">
        <v>15</v>
      </c>
      <c r="F968" s="4" t="s">
        <v>16</v>
      </c>
      <c r="G968" s="5" t="s">
        <v>17</v>
      </c>
      <c r="H968" s="6">
        <v>0.0</v>
      </c>
    </row>
    <row r="969" spans="8:8" ht="23.85" hidden="1">
      <c r="A969" s="2">
        <v>1767.0</v>
      </c>
      <c r="B969" s="3" t="s">
        <v>474</v>
      </c>
      <c r="C969" s="3" t="s">
        <v>9</v>
      </c>
      <c r="D969" s="4" t="s">
        <v>14</v>
      </c>
      <c r="E969" s="4" t="s">
        <v>15</v>
      </c>
      <c r="F969" s="4" t="s">
        <v>16</v>
      </c>
      <c r="G969" s="5" t="s">
        <v>17</v>
      </c>
      <c r="H969" s="6">
        <v>0.0</v>
      </c>
    </row>
    <row r="970" spans="8:8" ht="23.85" hidden="1">
      <c r="A970" s="2">
        <v>1768.0</v>
      </c>
      <c r="B970" s="3" t="s">
        <v>474</v>
      </c>
      <c r="C970" s="3" t="s">
        <v>9</v>
      </c>
      <c r="D970" s="4" t="s">
        <v>14</v>
      </c>
      <c r="E970" s="4" t="s">
        <v>15</v>
      </c>
      <c r="F970" s="4" t="s">
        <v>16</v>
      </c>
      <c r="G970" s="5" t="s">
        <v>17</v>
      </c>
      <c r="H970" s="6">
        <v>0.0</v>
      </c>
    </row>
    <row r="971" spans="8:8" ht="23.85" hidden="1">
      <c r="A971" s="2">
        <v>1769.0</v>
      </c>
      <c r="B971" s="3" t="s">
        <v>474</v>
      </c>
      <c r="C971" s="3" t="s">
        <v>9</v>
      </c>
      <c r="D971" s="4" t="s">
        <v>14</v>
      </c>
      <c r="E971" s="4" t="s">
        <v>15</v>
      </c>
      <c r="F971" s="4" t="s">
        <v>16</v>
      </c>
      <c r="G971" s="5" t="s">
        <v>17</v>
      </c>
      <c r="H971" s="6">
        <v>0.0</v>
      </c>
    </row>
    <row r="972" spans="8:8" ht="23.85" hidden="1">
      <c r="A972" s="2">
        <v>1770.0</v>
      </c>
      <c r="B972" s="3" t="s">
        <v>474</v>
      </c>
      <c r="C972" s="3" t="s">
        <v>9</v>
      </c>
      <c r="D972" s="4" t="s">
        <v>14</v>
      </c>
      <c r="E972" s="4" t="s">
        <v>15</v>
      </c>
      <c r="F972" s="4" t="s">
        <v>16</v>
      </c>
      <c r="G972" s="5" t="s">
        <v>17</v>
      </c>
      <c r="H972" s="6">
        <v>0.0</v>
      </c>
    </row>
    <row r="973" spans="8:8" ht="23.85" hidden="1">
      <c r="A973" s="2">
        <v>1771.0</v>
      </c>
      <c r="B973" s="3" t="s">
        <v>474</v>
      </c>
      <c r="C973" s="3" t="s">
        <v>9</v>
      </c>
      <c r="D973" s="4" t="s">
        <v>14</v>
      </c>
      <c r="E973" s="4" t="s">
        <v>15</v>
      </c>
      <c r="F973" s="4" t="s">
        <v>16</v>
      </c>
      <c r="G973" s="5" t="s">
        <v>17</v>
      </c>
      <c r="H973" s="6">
        <v>0.0</v>
      </c>
    </row>
    <row r="974" spans="8:8" ht="23.85">
      <c r="A974" s="2">
        <v>1772.0</v>
      </c>
      <c r="B974" s="7" t="s">
        <v>474</v>
      </c>
      <c r="C974" s="12" t="s">
        <v>18</v>
      </c>
      <c r="D974" s="8" t="s">
        <v>484</v>
      </c>
      <c r="E974" s="8" t="s">
        <v>285</v>
      </c>
      <c r="F974" s="8" t="s">
        <v>485</v>
      </c>
      <c r="G974" s="9" t="s">
        <v>486</v>
      </c>
      <c r="H974" s="13">
        <v>4.0</v>
      </c>
    </row>
    <row r="975" spans="8:8" ht="15.0">
      <c r="A975" s="2">
        <v>1773.0</v>
      </c>
      <c r="B975" s="7" t="s">
        <v>474</v>
      </c>
      <c r="C975" s="7" t="s">
        <v>18</v>
      </c>
      <c r="D975" s="8" t="s">
        <v>487</v>
      </c>
      <c r="E975" s="8" t="s">
        <v>285</v>
      </c>
      <c r="F975" s="8" t="s">
        <v>477</v>
      </c>
      <c r="G975" s="9" t="s">
        <v>488</v>
      </c>
      <c r="H975" s="10">
        <v>3.0</v>
      </c>
    </row>
    <row r="976" spans="8:8" ht="23.85" hidden="1">
      <c r="A976" s="2">
        <v>1774.0</v>
      </c>
      <c r="B976" s="3" t="s">
        <v>474</v>
      </c>
      <c r="C976" s="3" t="s">
        <v>9</v>
      </c>
      <c r="D976" s="4" t="s">
        <v>14</v>
      </c>
      <c r="E976" s="4" t="s">
        <v>15</v>
      </c>
      <c r="F976" s="4" t="s">
        <v>16</v>
      </c>
      <c r="G976" s="5" t="s">
        <v>17</v>
      </c>
      <c r="H976" s="6">
        <v>0.0</v>
      </c>
    </row>
    <row r="977" spans="8:8" ht="23.85" hidden="1">
      <c r="A977" s="2">
        <v>1775.0</v>
      </c>
      <c r="B977" s="3" t="s">
        <v>474</v>
      </c>
      <c r="C977" s="3" t="s">
        <v>9</v>
      </c>
      <c r="D977" s="4" t="s">
        <v>14</v>
      </c>
      <c r="E977" s="4" t="s">
        <v>15</v>
      </c>
      <c r="F977" s="4" t="s">
        <v>16</v>
      </c>
      <c r="G977" s="5" t="s">
        <v>17</v>
      </c>
      <c r="H977" s="6">
        <v>0.0</v>
      </c>
    </row>
    <row r="978" spans="8:8" ht="23.85" hidden="1">
      <c r="A978" s="2">
        <v>1776.0</v>
      </c>
      <c r="B978" s="3" t="s">
        <v>474</v>
      </c>
      <c r="C978" s="3" t="s">
        <v>9</v>
      </c>
      <c r="D978" s="4" t="s">
        <v>14</v>
      </c>
      <c r="E978" s="4" t="s">
        <v>15</v>
      </c>
      <c r="F978" s="4" t="s">
        <v>16</v>
      </c>
      <c r="G978" s="5" t="s">
        <v>17</v>
      </c>
      <c r="H978" s="6">
        <v>0.0</v>
      </c>
    </row>
    <row r="979" spans="8:8" ht="23.85" hidden="1">
      <c r="A979" s="2">
        <v>1777.0</v>
      </c>
      <c r="B979" s="3" t="s">
        <v>474</v>
      </c>
      <c r="C979" s="3" t="s">
        <v>9</v>
      </c>
      <c r="D979" s="4" t="s">
        <v>14</v>
      </c>
      <c r="E979" s="4" t="s">
        <v>15</v>
      </c>
      <c r="F979" s="4" t="s">
        <v>16</v>
      </c>
      <c r="G979" s="5" t="s">
        <v>17</v>
      </c>
      <c r="H979" s="6">
        <v>0.0</v>
      </c>
    </row>
    <row r="980" spans="8:8" ht="23.85" hidden="1">
      <c r="A980" s="2">
        <v>1778.0</v>
      </c>
      <c r="B980" s="3" t="s">
        <v>474</v>
      </c>
      <c r="C980" s="3" t="s">
        <v>9</v>
      </c>
      <c r="D980" s="4" t="s">
        <v>14</v>
      </c>
      <c r="E980" s="4" t="s">
        <v>15</v>
      </c>
      <c r="F980" s="4" t="s">
        <v>16</v>
      </c>
      <c r="G980" s="5" t="s">
        <v>17</v>
      </c>
      <c r="H980" s="6">
        <v>0.0</v>
      </c>
    </row>
    <row r="981" spans="8:8" ht="23.85" hidden="1">
      <c r="A981" s="2">
        <v>1779.0</v>
      </c>
      <c r="B981" s="3" t="s">
        <v>474</v>
      </c>
      <c r="C981" s="3" t="s">
        <v>9</v>
      </c>
      <c r="D981" s="4" t="s">
        <v>14</v>
      </c>
      <c r="E981" s="4" t="s">
        <v>15</v>
      </c>
      <c r="F981" s="4" t="s">
        <v>16</v>
      </c>
      <c r="G981" s="5" t="s">
        <v>17</v>
      </c>
      <c r="H981" s="6">
        <v>0.0</v>
      </c>
    </row>
    <row r="982" spans="8:8" ht="23.85" hidden="1">
      <c r="A982" s="2">
        <v>1780.0</v>
      </c>
      <c r="B982" s="3" t="s">
        <v>474</v>
      </c>
      <c r="C982" s="3" t="s">
        <v>9</v>
      </c>
      <c r="D982" s="4" t="s">
        <v>14</v>
      </c>
      <c r="E982" s="4" t="s">
        <v>15</v>
      </c>
      <c r="F982" s="4" t="s">
        <v>16</v>
      </c>
      <c r="G982" s="5" t="s">
        <v>17</v>
      </c>
      <c r="H982" s="6">
        <v>0.0</v>
      </c>
    </row>
    <row r="983" spans="8:8" ht="23.85" hidden="1">
      <c r="A983" s="2">
        <v>1781.0</v>
      </c>
      <c r="B983" s="3" t="s">
        <v>474</v>
      </c>
      <c r="C983" s="3" t="s">
        <v>9</v>
      </c>
      <c r="D983" s="4" t="s">
        <v>14</v>
      </c>
      <c r="E983" s="4" t="s">
        <v>15</v>
      </c>
      <c r="F983" s="4" t="s">
        <v>16</v>
      </c>
      <c r="G983" s="5" t="s">
        <v>17</v>
      </c>
      <c r="H983" s="6">
        <v>0.0</v>
      </c>
    </row>
    <row r="984" spans="8:8" ht="23.85" hidden="1">
      <c r="A984" s="2">
        <v>1782.0</v>
      </c>
      <c r="B984" s="3" t="s">
        <v>474</v>
      </c>
      <c r="C984" s="3" t="s">
        <v>9</v>
      </c>
      <c r="D984" s="4" t="s">
        <v>14</v>
      </c>
      <c r="E984" s="4" t="s">
        <v>15</v>
      </c>
      <c r="F984" s="4" t="s">
        <v>16</v>
      </c>
      <c r="G984" s="5" t="s">
        <v>17</v>
      </c>
      <c r="H984" s="6">
        <v>0.0</v>
      </c>
    </row>
    <row r="985" spans="8:8" ht="15.0">
      <c r="A985" s="2">
        <v>1783.0</v>
      </c>
      <c r="B985" s="7" t="s">
        <v>474</v>
      </c>
      <c r="C985" s="7" t="s">
        <v>18</v>
      </c>
      <c r="D985" s="8" t="s">
        <v>489</v>
      </c>
      <c r="E985" s="8" t="s">
        <v>268</v>
      </c>
      <c r="F985" s="8" t="s">
        <v>490</v>
      </c>
      <c r="G985" s="9" t="s">
        <v>491</v>
      </c>
      <c r="H985" s="11">
        <v>2.0</v>
      </c>
    </row>
    <row r="986" spans="8:8" ht="23.85" hidden="1">
      <c r="A986" s="2">
        <v>1784.0</v>
      </c>
      <c r="B986" s="3" t="s">
        <v>474</v>
      </c>
      <c r="C986" s="3" t="s">
        <v>9</v>
      </c>
      <c r="D986" s="4" t="s">
        <v>14</v>
      </c>
      <c r="E986" s="4" t="s">
        <v>15</v>
      </c>
      <c r="F986" s="4" t="s">
        <v>16</v>
      </c>
      <c r="G986" s="5" t="s">
        <v>17</v>
      </c>
      <c r="H986" s="6">
        <v>0.0</v>
      </c>
    </row>
    <row r="987" spans="8:8" ht="23.85" hidden="1">
      <c r="A987" s="2">
        <v>1785.0</v>
      </c>
      <c r="B987" s="3" t="s">
        <v>474</v>
      </c>
      <c r="C987" s="3" t="s">
        <v>9</v>
      </c>
      <c r="D987" s="4" t="s">
        <v>14</v>
      </c>
      <c r="E987" s="4" t="s">
        <v>15</v>
      </c>
      <c r="F987" s="4" t="s">
        <v>16</v>
      </c>
      <c r="G987" s="5" t="s">
        <v>17</v>
      </c>
      <c r="H987" s="6">
        <v>0.0</v>
      </c>
    </row>
    <row r="988" spans="8:8" ht="23.85" hidden="1">
      <c r="A988" s="2">
        <v>1786.0</v>
      </c>
      <c r="B988" s="3" t="s">
        <v>474</v>
      </c>
      <c r="C988" s="3" t="s">
        <v>9</v>
      </c>
      <c r="D988" s="4" t="s">
        <v>14</v>
      </c>
      <c r="E988" s="4" t="s">
        <v>15</v>
      </c>
      <c r="F988" s="4" t="s">
        <v>16</v>
      </c>
      <c r="G988" s="5" t="s">
        <v>17</v>
      </c>
      <c r="H988" s="6">
        <v>0.0</v>
      </c>
    </row>
    <row r="989" spans="8:8" ht="23.85" hidden="1">
      <c r="A989" s="2">
        <v>1787.0</v>
      </c>
      <c r="B989" s="3" t="s">
        <v>474</v>
      </c>
      <c r="C989" s="3" t="s">
        <v>9</v>
      </c>
      <c r="D989" s="4" t="s">
        <v>14</v>
      </c>
      <c r="E989" s="4" t="s">
        <v>15</v>
      </c>
      <c r="F989" s="4" t="s">
        <v>16</v>
      </c>
      <c r="G989" s="5" t="s">
        <v>17</v>
      </c>
      <c r="H989" s="6">
        <v>0.0</v>
      </c>
    </row>
    <row r="990" spans="8:8" ht="23.85" hidden="1">
      <c r="A990" s="2">
        <v>1788.0</v>
      </c>
      <c r="B990" s="3" t="s">
        <v>474</v>
      </c>
      <c r="C990" s="3" t="s">
        <v>9</v>
      </c>
      <c r="D990" s="4" t="s">
        <v>14</v>
      </c>
      <c r="E990" s="4" t="s">
        <v>15</v>
      </c>
      <c r="F990" s="4" t="s">
        <v>16</v>
      </c>
      <c r="G990" s="5" t="s">
        <v>17</v>
      </c>
      <c r="H990" s="6">
        <v>0.0</v>
      </c>
    </row>
    <row r="991" spans="8:8" ht="15.0">
      <c r="A991" s="2">
        <v>1789.0</v>
      </c>
      <c r="B991" s="7" t="s">
        <v>474</v>
      </c>
      <c r="C991" s="7" t="s">
        <v>18</v>
      </c>
      <c r="D991" s="8" t="s">
        <v>492</v>
      </c>
      <c r="E991" s="8" t="s">
        <v>493</v>
      </c>
      <c r="F991" s="8" t="s">
        <v>214</v>
      </c>
      <c r="G991" s="9" t="s">
        <v>494</v>
      </c>
      <c r="H991" s="14">
        <v>1.0</v>
      </c>
    </row>
    <row r="992" spans="8:8" ht="23.85" hidden="1">
      <c r="A992" s="2">
        <v>1790.0</v>
      </c>
      <c r="B992" s="3" t="s">
        <v>474</v>
      </c>
      <c r="C992" s="3" t="s">
        <v>9</v>
      </c>
      <c r="D992" s="4" t="s">
        <v>14</v>
      </c>
      <c r="E992" s="4" t="s">
        <v>15</v>
      </c>
      <c r="F992" s="4" t="s">
        <v>16</v>
      </c>
      <c r="G992" s="5" t="s">
        <v>17</v>
      </c>
      <c r="H992" s="6">
        <v>0.0</v>
      </c>
    </row>
    <row r="993" spans="8:8" ht="23.85" hidden="1">
      <c r="A993" s="2">
        <v>1791.0</v>
      </c>
      <c r="B993" s="3" t="s">
        <v>474</v>
      </c>
      <c r="C993" s="3" t="s">
        <v>9</v>
      </c>
      <c r="D993" s="4" t="s">
        <v>14</v>
      </c>
      <c r="E993" s="4" t="s">
        <v>15</v>
      </c>
      <c r="F993" s="4" t="s">
        <v>16</v>
      </c>
      <c r="G993" s="5" t="s">
        <v>17</v>
      </c>
      <c r="H993" s="6">
        <v>0.0</v>
      </c>
    </row>
    <row r="994" spans="8:8" ht="23.85">
      <c r="A994" s="2">
        <v>1792.0</v>
      </c>
      <c r="B994" s="7" t="s">
        <v>474</v>
      </c>
      <c r="C994" s="7" t="s">
        <v>18</v>
      </c>
      <c r="D994" s="8" t="s">
        <v>495</v>
      </c>
      <c r="E994" s="8" t="s">
        <v>496</v>
      </c>
      <c r="F994" s="8" t="s">
        <v>497</v>
      </c>
      <c r="G994" s="9" t="s">
        <v>498</v>
      </c>
      <c r="H994" s="10">
        <v>3.0</v>
      </c>
    </row>
    <row r="995" spans="8:8" ht="15.0">
      <c r="A995" s="2">
        <v>1793.0</v>
      </c>
      <c r="B995" s="7" t="s">
        <v>474</v>
      </c>
      <c r="C995" s="7" t="s">
        <v>18</v>
      </c>
      <c r="D995" s="8" t="s">
        <v>499</v>
      </c>
      <c r="E995" s="8" t="s">
        <v>285</v>
      </c>
      <c r="F995" s="8" t="s">
        <v>477</v>
      </c>
      <c r="G995" s="9" t="s">
        <v>500</v>
      </c>
      <c r="H995" s="10">
        <v>3.0</v>
      </c>
    </row>
    <row r="996" spans="8:8" ht="23.85" hidden="1">
      <c r="A996" s="2">
        <v>1794.0</v>
      </c>
      <c r="B996" s="3" t="s">
        <v>474</v>
      </c>
      <c r="C996" s="3" t="s">
        <v>9</v>
      </c>
      <c r="D996" s="4" t="s">
        <v>14</v>
      </c>
      <c r="E996" s="4" t="s">
        <v>15</v>
      </c>
      <c r="F996" s="4" t="s">
        <v>16</v>
      </c>
      <c r="G996" s="5" t="s">
        <v>17</v>
      </c>
      <c r="H996" s="6">
        <v>0.0</v>
      </c>
    </row>
    <row r="997" spans="8:8" ht="15.0">
      <c r="A997" s="2">
        <v>1795.0</v>
      </c>
      <c r="B997" s="7" t="s">
        <v>474</v>
      </c>
      <c r="C997" s="12" t="s">
        <v>18</v>
      </c>
      <c r="D997" s="8" t="s">
        <v>501</v>
      </c>
      <c r="E997" s="8" t="s">
        <v>181</v>
      </c>
      <c r="F997" s="8" t="s">
        <v>214</v>
      </c>
      <c r="G997" s="9" t="s">
        <v>502</v>
      </c>
      <c r="H997" s="13">
        <v>4.0</v>
      </c>
    </row>
    <row r="998" spans="8:8" ht="15.0">
      <c r="A998" s="2">
        <v>1796.0</v>
      </c>
      <c r="B998" s="7" t="s">
        <v>474</v>
      </c>
      <c r="C998" s="7" t="s">
        <v>18</v>
      </c>
      <c r="D998" s="8" t="s">
        <v>503</v>
      </c>
      <c r="E998" s="8" t="s">
        <v>454</v>
      </c>
      <c r="F998" s="8" t="s">
        <v>504</v>
      </c>
      <c r="G998" s="9" t="s">
        <v>505</v>
      </c>
      <c r="H998" s="10">
        <v>3.0</v>
      </c>
    </row>
    <row r="999" spans="8:8" ht="15.0">
      <c r="A999" s="2">
        <v>1797.0</v>
      </c>
      <c r="B999" s="7" t="s">
        <v>474</v>
      </c>
      <c r="C999" s="7" t="s">
        <v>18</v>
      </c>
      <c r="D999" s="8" t="s">
        <v>506</v>
      </c>
      <c r="E999" s="8" t="s">
        <v>285</v>
      </c>
      <c r="F999" s="8" t="s">
        <v>490</v>
      </c>
      <c r="G999" s="9" t="s">
        <v>507</v>
      </c>
      <c r="H999" s="10">
        <v>3.0</v>
      </c>
    </row>
    <row r="1000" spans="8:8" ht="23.85" hidden="1">
      <c r="A1000" s="2">
        <v>1798.0</v>
      </c>
      <c r="B1000" s="3" t="s">
        <v>474</v>
      </c>
      <c r="C1000" s="3" t="s">
        <v>9</v>
      </c>
      <c r="D1000" s="4" t="s">
        <v>14</v>
      </c>
      <c r="E1000" s="4" t="s">
        <v>15</v>
      </c>
      <c r="F1000" s="4" t="s">
        <v>16</v>
      </c>
      <c r="G1000" s="5" t="s">
        <v>17</v>
      </c>
      <c r="H1000" s="6">
        <v>0.0</v>
      </c>
    </row>
    <row r="1001" spans="8:8" ht="15.0">
      <c r="A1001" s="2">
        <v>1799.0</v>
      </c>
      <c r="B1001" s="7" t="s">
        <v>474</v>
      </c>
      <c r="C1001" s="7" t="s">
        <v>18</v>
      </c>
      <c r="D1001" s="8" t="s">
        <v>508</v>
      </c>
      <c r="E1001" s="8" t="s">
        <v>285</v>
      </c>
      <c r="F1001" s="8" t="s">
        <v>509</v>
      </c>
      <c r="G1001" s="9" t="s">
        <v>510</v>
      </c>
      <c r="H1001" s="10">
        <v>3.0</v>
      </c>
    </row>
    <row r="1002" spans="8:8" ht="23.85" hidden="1">
      <c r="A1002" s="2">
        <v>1800.0</v>
      </c>
      <c r="B1002" s="3" t="s">
        <v>474</v>
      </c>
      <c r="C1002" s="3" t="s">
        <v>9</v>
      </c>
      <c r="D1002" s="4" t="s">
        <v>14</v>
      </c>
      <c r="E1002" s="4" t="s">
        <v>15</v>
      </c>
      <c r="F1002" s="4" t="s">
        <v>16</v>
      </c>
      <c r="G1002" s="5" t="s">
        <v>17</v>
      </c>
      <c r="H1002" s="6">
        <v>0.0</v>
      </c>
    </row>
    <row r="1003" spans="8:8" ht="23.85" hidden="1">
      <c r="A1003" s="2">
        <v>1801.0</v>
      </c>
      <c r="B1003" s="3" t="s">
        <v>474</v>
      </c>
      <c r="C1003" s="3" t="s">
        <v>9</v>
      </c>
      <c r="D1003" s="4" t="s">
        <v>14</v>
      </c>
      <c r="E1003" s="4" t="s">
        <v>15</v>
      </c>
      <c r="F1003" s="4" t="s">
        <v>16</v>
      </c>
      <c r="G1003" s="5" t="s">
        <v>17</v>
      </c>
      <c r="H1003" s="6">
        <v>0.0</v>
      </c>
    </row>
    <row r="1004" spans="8:8" ht="23.85" hidden="1">
      <c r="A1004" s="2">
        <v>1802.0</v>
      </c>
      <c r="B1004" s="3" t="s">
        <v>474</v>
      </c>
      <c r="C1004" s="3" t="s">
        <v>9</v>
      </c>
      <c r="D1004" s="4" t="s">
        <v>14</v>
      </c>
      <c r="E1004" s="4" t="s">
        <v>15</v>
      </c>
      <c r="F1004" s="4" t="s">
        <v>16</v>
      </c>
      <c r="G1004" s="5" t="s">
        <v>17</v>
      </c>
      <c r="H1004" s="6">
        <v>0.0</v>
      </c>
    </row>
    <row r="1005" spans="8:8" ht="23.85" hidden="1">
      <c r="A1005" s="2">
        <v>1803.0</v>
      </c>
      <c r="B1005" s="3" t="s">
        <v>474</v>
      </c>
      <c r="C1005" s="3" t="s">
        <v>9</v>
      </c>
      <c r="D1005" s="4" t="s">
        <v>14</v>
      </c>
      <c r="E1005" s="4" t="s">
        <v>15</v>
      </c>
      <c r="F1005" s="4" t="s">
        <v>16</v>
      </c>
      <c r="G1005" s="5" t="s">
        <v>17</v>
      </c>
      <c r="H1005" s="6">
        <v>0.0</v>
      </c>
    </row>
    <row r="1006" spans="8:8" ht="23.85" hidden="1">
      <c r="A1006" s="2">
        <v>1804.0</v>
      </c>
      <c r="B1006" s="3" t="s">
        <v>474</v>
      </c>
      <c r="C1006" s="3" t="s">
        <v>9</v>
      </c>
      <c r="D1006" s="4" t="s">
        <v>14</v>
      </c>
      <c r="E1006" s="4" t="s">
        <v>15</v>
      </c>
      <c r="F1006" s="4" t="s">
        <v>16</v>
      </c>
      <c r="G1006" s="5" t="s">
        <v>17</v>
      </c>
      <c r="H1006" s="6">
        <v>0.0</v>
      </c>
    </row>
    <row r="1007" spans="8:8" ht="23.85" hidden="1">
      <c r="A1007" s="2">
        <v>1805.0</v>
      </c>
      <c r="B1007" s="3" t="s">
        <v>474</v>
      </c>
      <c r="C1007" s="3" t="s">
        <v>9</v>
      </c>
      <c r="D1007" s="4" t="s">
        <v>14</v>
      </c>
      <c r="E1007" s="4" t="s">
        <v>15</v>
      </c>
      <c r="F1007" s="4" t="s">
        <v>16</v>
      </c>
      <c r="G1007" s="5" t="s">
        <v>17</v>
      </c>
      <c r="H1007" s="6">
        <v>0.0</v>
      </c>
    </row>
    <row r="1008" spans="8:8" ht="23.85" hidden="1">
      <c r="A1008" s="2">
        <v>1806.0</v>
      </c>
      <c r="B1008" s="3" t="s">
        <v>474</v>
      </c>
      <c r="C1008" s="3" t="s">
        <v>9</v>
      </c>
      <c r="D1008" s="4" t="s">
        <v>14</v>
      </c>
      <c r="E1008" s="4" t="s">
        <v>15</v>
      </c>
      <c r="F1008" s="4" t="s">
        <v>16</v>
      </c>
      <c r="G1008" s="5" t="s">
        <v>17</v>
      </c>
      <c r="H1008" s="6">
        <v>0.0</v>
      </c>
    </row>
    <row r="1009" spans="8:8" ht="23.85" hidden="1">
      <c r="A1009" s="2">
        <v>1807.0</v>
      </c>
      <c r="B1009" s="3" t="s">
        <v>474</v>
      </c>
      <c r="C1009" s="3" t="s">
        <v>9</v>
      </c>
      <c r="D1009" s="4" t="s">
        <v>14</v>
      </c>
      <c r="E1009" s="4" t="s">
        <v>15</v>
      </c>
      <c r="F1009" s="4" t="s">
        <v>16</v>
      </c>
      <c r="G1009" s="5" t="s">
        <v>17</v>
      </c>
      <c r="H1009" s="6">
        <v>0.0</v>
      </c>
    </row>
    <row r="1010" spans="8:8" ht="23.85" hidden="1">
      <c r="A1010" s="2">
        <v>1808.0</v>
      </c>
      <c r="B1010" s="3" t="s">
        <v>474</v>
      </c>
      <c r="C1010" s="3" t="s">
        <v>9</v>
      </c>
      <c r="D1010" s="4" t="s">
        <v>14</v>
      </c>
      <c r="E1010" s="4" t="s">
        <v>15</v>
      </c>
      <c r="F1010" s="4" t="s">
        <v>16</v>
      </c>
      <c r="G1010" s="5" t="s">
        <v>17</v>
      </c>
      <c r="H1010" s="6">
        <v>0.0</v>
      </c>
    </row>
    <row r="1011" spans="8:8" ht="23.85" hidden="1">
      <c r="A1011" s="2">
        <v>1809.0</v>
      </c>
      <c r="B1011" s="3" t="s">
        <v>474</v>
      </c>
      <c r="C1011" s="3" t="s">
        <v>9</v>
      </c>
      <c r="D1011" s="4" t="s">
        <v>14</v>
      </c>
      <c r="E1011" s="4" t="s">
        <v>15</v>
      </c>
      <c r="F1011" s="4" t="s">
        <v>16</v>
      </c>
      <c r="G1011" s="5" t="s">
        <v>17</v>
      </c>
      <c r="H1011" s="6">
        <v>0.0</v>
      </c>
    </row>
    <row r="1012" spans="8:8" ht="15.0">
      <c r="A1012" s="2">
        <v>1810.0</v>
      </c>
      <c r="B1012" s="7" t="s">
        <v>474</v>
      </c>
      <c r="C1012" s="7" t="s">
        <v>18</v>
      </c>
      <c r="D1012" s="8" t="s">
        <v>511</v>
      </c>
      <c r="E1012" s="8" t="s">
        <v>268</v>
      </c>
      <c r="F1012" s="8" t="s">
        <v>512</v>
      </c>
      <c r="G1012" s="9" t="s">
        <v>513</v>
      </c>
      <c r="H1012" s="10">
        <v>3.0</v>
      </c>
    </row>
    <row r="1013" spans="8:8" ht="23.85" hidden="1">
      <c r="A1013" s="2">
        <v>1811.0</v>
      </c>
      <c r="B1013" s="3" t="s">
        <v>474</v>
      </c>
      <c r="C1013" s="3" t="s">
        <v>9</v>
      </c>
      <c r="D1013" s="4" t="s">
        <v>14</v>
      </c>
      <c r="E1013" s="4" t="s">
        <v>15</v>
      </c>
      <c r="F1013" s="4" t="s">
        <v>16</v>
      </c>
      <c r="G1013" s="5" t="s">
        <v>17</v>
      </c>
      <c r="H1013" s="6">
        <v>0.0</v>
      </c>
    </row>
    <row r="1014" spans="8:8" ht="23.85" hidden="1">
      <c r="A1014" s="2">
        <v>1812.0</v>
      </c>
      <c r="B1014" s="3" t="s">
        <v>474</v>
      </c>
      <c r="C1014" s="3" t="s">
        <v>9</v>
      </c>
      <c r="D1014" s="4" t="s">
        <v>14</v>
      </c>
      <c r="E1014" s="4" t="s">
        <v>15</v>
      </c>
      <c r="F1014" s="4" t="s">
        <v>16</v>
      </c>
      <c r="G1014" s="5" t="s">
        <v>17</v>
      </c>
      <c r="H1014" s="6">
        <v>0.0</v>
      </c>
    </row>
    <row r="1015" spans="8:8" ht="23.85" hidden="1">
      <c r="A1015" s="2">
        <v>1813.0</v>
      </c>
      <c r="B1015" s="3" t="s">
        <v>474</v>
      </c>
      <c r="C1015" s="3" t="s">
        <v>9</v>
      </c>
      <c r="D1015" s="4" t="s">
        <v>14</v>
      </c>
      <c r="E1015" s="4" t="s">
        <v>15</v>
      </c>
      <c r="F1015" s="4" t="s">
        <v>16</v>
      </c>
      <c r="G1015" s="5" t="s">
        <v>17</v>
      </c>
      <c r="H1015" s="6">
        <v>0.0</v>
      </c>
    </row>
    <row r="1016" spans="8:8" ht="15.0">
      <c r="A1016" s="2">
        <v>1814.0</v>
      </c>
      <c r="B1016" s="7" t="s">
        <v>474</v>
      </c>
      <c r="C1016" s="7" t="s">
        <v>18</v>
      </c>
      <c r="D1016" s="8" t="s">
        <v>514</v>
      </c>
      <c r="E1016" s="8" t="s">
        <v>285</v>
      </c>
      <c r="F1016" s="8" t="s">
        <v>497</v>
      </c>
      <c r="G1016" s="9" t="s">
        <v>515</v>
      </c>
      <c r="H1016" s="11">
        <v>2.0</v>
      </c>
    </row>
    <row r="1017" spans="8:8" ht="23.85" hidden="1">
      <c r="A1017" s="2">
        <v>1815.0</v>
      </c>
      <c r="B1017" s="3" t="s">
        <v>474</v>
      </c>
      <c r="C1017" s="3" t="s">
        <v>9</v>
      </c>
      <c r="D1017" s="4" t="s">
        <v>14</v>
      </c>
      <c r="E1017" s="4" t="s">
        <v>15</v>
      </c>
      <c r="F1017" s="4" t="s">
        <v>16</v>
      </c>
      <c r="G1017" s="5" t="s">
        <v>17</v>
      </c>
      <c r="H1017" s="6">
        <v>0.0</v>
      </c>
    </row>
    <row r="1018" spans="8:8" ht="15.0">
      <c r="A1018" s="2">
        <v>1816.0</v>
      </c>
      <c r="B1018" s="7" t="s">
        <v>474</v>
      </c>
      <c r="C1018" s="7" t="s">
        <v>18</v>
      </c>
      <c r="D1018" s="8" t="s">
        <v>516</v>
      </c>
      <c r="E1018" s="8" t="s">
        <v>517</v>
      </c>
      <c r="F1018" s="8" t="s">
        <v>518</v>
      </c>
      <c r="G1018" s="9" t="s">
        <v>519</v>
      </c>
      <c r="H1018" s="11">
        <v>2.0</v>
      </c>
    </row>
    <row r="1019" spans="8:8" ht="23.85" hidden="1">
      <c r="A1019" s="2">
        <v>1817.0</v>
      </c>
      <c r="B1019" s="3" t="s">
        <v>474</v>
      </c>
      <c r="C1019" s="3" t="s">
        <v>9</v>
      </c>
      <c r="D1019" s="4" t="s">
        <v>14</v>
      </c>
      <c r="E1019" s="4" t="s">
        <v>15</v>
      </c>
      <c r="F1019" s="4" t="s">
        <v>16</v>
      </c>
      <c r="G1019" s="5" t="s">
        <v>17</v>
      </c>
      <c r="H1019" s="6">
        <v>0.0</v>
      </c>
    </row>
    <row r="1020" spans="8:8" ht="23.85" hidden="1">
      <c r="A1020" s="2">
        <v>1818.0</v>
      </c>
      <c r="B1020" s="3" t="s">
        <v>474</v>
      </c>
      <c r="C1020" s="3" t="s">
        <v>9</v>
      </c>
      <c r="D1020" s="4" t="s">
        <v>14</v>
      </c>
      <c r="E1020" s="4" t="s">
        <v>15</v>
      </c>
      <c r="F1020" s="4" t="s">
        <v>16</v>
      </c>
      <c r="G1020" s="5" t="s">
        <v>17</v>
      </c>
      <c r="H1020" s="6">
        <v>0.0</v>
      </c>
    </row>
    <row r="1021" spans="8:8" ht="23.85">
      <c r="A1021" s="2">
        <v>1819.0</v>
      </c>
      <c r="B1021" s="7" t="s">
        <v>474</v>
      </c>
      <c r="C1021" s="12" t="s">
        <v>18</v>
      </c>
      <c r="D1021" s="8" t="s">
        <v>520</v>
      </c>
      <c r="E1021" s="8" t="s">
        <v>521</v>
      </c>
      <c r="F1021" s="8" t="s">
        <v>497</v>
      </c>
      <c r="G1021" s="9" t="s">
        <v>522</v>
      </c>
      <c r="H1021" s="13">
        <v>4.0</v>
      </c>
    </row>
    <row r="1022" spans="8:8" ht="23.85" hidden="1">
      <c r="A1022" s="2">
        <v>1820.0</v>
      </c>
      <c r="B1022" s="3" t="s">
        <v>474</v>
      </c>
      <c r="C1022" s="3" t="s">
        <v>9</v>
      </c>
      <c r="D1022" s="4" t="s">
        <v>14</v>
      </c>
      <c r="E1022" s="4" t="s">
        <v>15</v>
      </c>
      <c r="F1022" s="4" t="s">
        <v>16</v>
      </c>
      <c r="G1022" s="5" t="s">
        <v>17</v>
      </c>
      <c r="H1022" s="6">
        <v>0.0</v>
      </c>
    </row>
    <row r="1023" spans="8:8" ht="23.85" hidden="1">
      <c r="A1023" s="2">
        <v>1821.0</v>
      </c>
      <c r="B1023" s="3" t="s">
        <v>474</v>
      </c>
      <c r="C1023" s="3" t="s">
        <v>9</v>
      </c>
      <c r="D1023" s="4" t="s">
        <v>14</v>
      </c>
      <c r="E1023" s="4" t="s">
        <v>15</v>
      </c>
      <c r="F1023" s="4" t="s">
        <v>16</v>
      </c>
      <c r="G1023" s="5" t="s">
        <v>17</v>
      </c>
      <c r="H1023" s="6">
        <v>0.0</v>
      </c>
    </row>
    <row r="1024" spans="8:8" ht="15.0">
      <c r="A1024" s="2">
        <v>1822.0</v>
      </c>
      <c r="B1024" s="7" t="s">
        <v>474</v>
      </c>
      <c r="C1024" s="7" t="s">
        <v>18</v>
      </c>
      <c r="D1024" s="8" t="s">
        <v>523</v>
      </c>
      <c r="E1024" s="8" t="s">
        <v>524</v>
      </c>
      <c r="F1024" s="8" t="s">
        <v>477</v>
      </c>
      <c r="G1024" s="9" t="s">
        <v>525</v>
      </c>
      <c r="H1024" s="11">
        <v>2.0</v>
      </c>
    </row>
    <row r="1025" spans="8:8" ht="15.0">
      <c r="A1025" s="2">
        <v>1823.0</v>
      </c>
      <c r="B1025" s="7" t="s">
        <v>474</v>
      </c>
      <c r="C1025" s="7" t="s">
        <v>18</v>
      </c>
      <c r="D1025" s="8" t="s">
        <v>526</v>
      </c>
      <c r="E1025" s="8" t="s">
        <v>524</v>
      </c>
      <c r="F1025" s="8" t="s">
        <v>527</v>
      </c>
      <c r="G1025" s="9" t="s">
        <v>528</v>
      </c>
      <c r="H1025" s="11">
        <v>2.0</v>
      </c>
    </row>
    <row r="1026" spans="8:8" ht="15.0">
      <c r="A1026" s="2">
        <v>1824.0</v>
      </c>
      <c r="B1026" s="7" t="s">
        <v>474</v>
      </c>
      <c r="C1026" s="7" t="s">
        <v>18</v>
      </c>
      <c r="D1026" s="8" t="s">
        <v>529</v>
      </c>
      <c r="E1026" s="8" t="s">
        <v>451</v>
      </c>
      <c r="F1026" s="8" t="s">
        <v>477</v>
      </c>
      <c r="G1026" s="9" t="s">
        <v>530</v>
      </c>
      <c r="H1026" s="10">
        <v>3.0</v>
      </c>
    </row>
    <row r="1027" spans="8:8" ht="23.85">
      <c r="A1027" s="2">
        <v>1825.0</v>
      </c>
      <c r="B1027" s="7" t="s">
        <v>474</v>
      </c>
      <c r="C1027" s="12" t="s">
        <v>18</v>
      </c>
      <c r="D1027" s="8" t="s">
        <v>531</v>
      </c>
      <c r="E1027" s="8" t="s">
        <v>532</v>
      </c>
      <c r="F1027" s="8" t="s">
        <v>533</v>
      </c>
      <c r="G1027" s="9" t="s">
        <v>534</v>
      </c>
      <c r="H1027" s="15">
        <v>5.0</v>
      </c>
    </row>
    <row r="1028" spans="8:8" ht="23.85" hidden="1">
      <c r="A1028" s="2">
        <v>1826.0</v>
      </c>
      <c r="B1028" s="3" t="s">
        <v>474</v>
      </c>
      <c r="C1028" s="3" t="s">
        <v>9</v>
      </c>
      <c r="D1028" s="4" t="s">
        <v>14</v>
      </c>
      <c r="E1028" s="4" t="s">
        <v>15</v>
      </c>
      <c r="F1028" s="4" t="s">
        <v>16</v>
      </c>
      <c r="G1028" s="5" t="s">
        <v>17</v>
      </c>
      <c r="H1028" s="6">
        <v>0.0</v>
      </c>
    </row>
    <row r="1029" spans="8:8" ht="23.85" hidden="1">
      <c r="A1029" s="2">
        <v>1827.0</v>
      </c>
      <c r="B1029" s="3" t="s">
        <v>474</v>
      </c>
      <c r="C1029" s="3" t="s">
        <v>9</v>
      </c>
      <c r="D1029" s="4" t="s">
        <v>14</v>
      </c>
      <c r="E1029" s="4" t="s">
        <v>15</v>
      </c>
      <c r="F1029" s="4" t="s">
        <v>16</v>
      </c>
      <c r="G1029" s="5" t="s">
        <v>17</v>
      </c>
      <c r="H1029" s="6">
        <v>0.0</v>
      </c>
    </row>
    <row r="1030" spans="8:8" ht="23.85" hidden="1">
      <c r="A1030" s="2">
        <v>1828.0</v>
      </c>
      <c r="B1030" s="3" t="s">
        <v>474</v>
      </c>
      <c r="C1030" s="3" t="s">
        <v>9</v>
      </c>
      <c r="D1030" s="4" t="s">
        <v>14</v>
      </c>
      <c r="E1030" s="4" t="s">
        <v>15</v>
      </c>
      <c r="F1030" s="4" t="s">
        <v>16</v>
      </c>
      <c r="G1030" s="5" t="s">
        <v>17</v>
      </c>
      <c r="H1030" s="6">
        <v>0.0</v>
      </c>
    </row>
    <row r="1031" spans="8:8" ht="23.85" hidden="1">
      <c r="A1031" s="2">
        <v>1829.0</v>
      </c>
      <c r="B1031" s="3" t="s">
        <v>474</v>
      </c>
      <c r="C1031" s="3" t="s">
        <v>9</v>
      </c>
      <c r="D1031" s="4" t="s">
        <v>14</v>
      </c>
      <c r="E1031" s="4" t="s">
        <v>15</v>
      </c>
      <c r="F1031" s="4" t="s">
        <v>16</v>
      </c>
      <c r="G1031" s="5" t="s">
        <v>17</v>
      </c>
      <c r="H1031" s="6">
        <v>0.0</v>
      </c>
    </row>
    <row r="1032" spans="8:8" ht="23.85" hidden="1">
      <c r="A1032" s="2">
        <v>1830.0</v>
      </c>
      <c r="B1032" s="3" t="s">
        <v>474</v>
      </c>
      <c r="C1032" s="3" t="s">
        <v>9</v>
      </c>
      <c r="D1032" s="4" t="s">
        <v>14</v>
      </c>
      <c r="E1032" s="4" t="s">
        <v>15</v>
      </c>
      <c r="F1032" s="4" t="s">
        <v>16</v>
      </c>
      <c r="G1032" s="5" t="s">
        <v>17</v>
      </c>
      <c r="H1032" s="6">
        <v>0.0</v>
      </c>
    </row>
    <row r="1033" spans="8:8" ht="23.85" hidden="1">
      <c r="A1033" s="2">
        <v>1831.0</v>
      </c>
      <c r="B1033" s="3" t="s">
        <v>474</v>
      </c>
      <c r="C1033" s="3" t="s">
        <v>9</v>
      </c>
      <c r="D1033" s="4" t="s">
        <v>14</v>
      </c>
      <c r="E1033" s="4" t="s">
        <v>15</v>
      </c>
      <c r="F1033" s="4" t="s">
        <v>16</v>
      </c>
      <c r="G1033" s="5" t="s">
        <v>17</v>
      </c>
      <c r="H1033" s="6">
        <v>0.0</v>
      </c>
    </row>
    <row r="1034" spans="8:8" ht="15.0">
      <c r="A1034" s="2">
        <v>1832.0</v>
      </c>
      <c r="B1034" s="7" t="s">
        <v>474</v>
      </c>
      <c r="C1034" s="7" t="s">
        <v>18</v>
      </c>
      <c r="D1034" s="8" t="s">
        <v>535</v>
      </c>
      <c r="E1034" s="8" t="s">
        <v>536</v>
      </c>
      <c r="F1034" s="8" t="s">
        <v>497</v>
      </c>
      <c r="G1034" s="9" t="s">
        <v>537</v>
      </c>
      <c r="H1034" s="11">
        <v>2.0</v>
      </c>
    </row>
    <row r="1035" spans="8:8" ht="23.85" hidden="1">
      <c r="A1035" s="2">
        <v>1833.0</v>
      </c>
      <c r="B1035" s="3" t="s">
        <v>474</v>
      </c>
      <c r="C1035" s="3" t="s">
        <v>9</v>
      </c>
      <c r="D1035" s="4" t="s">
        <v>14</v>
      </c>
      <c r="E1035" s="4" t="s">
        <v>15</v>
      </c>
      <c r="F1035" s="4" t="s">
        <v>16</v>
      </c>
      <c r="G1035" s="5" t="s">
        <v>17</v>
      </c>
      <c r="H1035" s="6">
        <v>0.0</v>
      </c>
    </row>
    <row r="1036" spans="8:8" ht="23.85" hidden="1">
      <c r="A1036" s="2">
        <v>1834.0</v>
      </c>
      <c r="B1036" s="3" t="s">
        <v>474</v>
      </c>
      <c r="C1036" s="3" t="s">
        <v>9</v>
      </c>
      <c r="D1036" s="4" t="s">
        <v>14</v>
      </c>
      <c r="E1036" s="4" t="s">
        <v>15</v>
      </c>
      <c r="F1036" s="4" t="s">
        <v>16</v>
      </c>
      <c r="G1036" s="5" t="s">
        <v>17</v>
      </c>
      <c r="H1036" s="6">
        <v>0.0</v>
      </c>
    </row>
    <row r="1037" spans="8:8" ht="23.85" hidden="1">
      <c r="A1037" s="2">
        <v>1835.0</v>
      </c>
      <c r="B1037" s="3" t="s">
        <v>474</v>
      </c>
      <c r="C1037" s="3" t="s">
        <v>9</v>
      </c>
      <c r="D1037" s="4" t="s">
        <v>14</v>
      </c>
      <c r="E1037" s="4" t="s">
        <v>15</v>
      </c>
      <c r="F1037" s="4" t="s">
        <v>16</v>
      </c>
      <c r="G1037" s="5" t="s">
        <v>17</v>
      </c>
      <c r="H1037" s="6">
        <v>0.0</v>
      </c>
    </row>
    <row r="1038" spans="8:8" ht="15.0">
      <c r="A1038" s="2">
        <v>1836.0</v>
      </c>
      <c r="B1038" s="7" t="s">
        <v>474</v>
      </c>
      <c r="C1038" s="7" t="s">
        <v>18</v>
      </c>
      <c r="D1038" s="8" t="s">
        <v>538</v>
      </c>
      <c r="E1038" s="8" t="s">
        <v>451</v>
      </c>
      <c r="F1038" s="8" t="s">
        <v>497</v>
      </c>
      <c r="G1038" s="9" t="s">
        <v>539</v>
      </c>
      <c r="H1038" s="10">
        <v>3.0</v>
      </c>
    </row>
    <row r="1039" spans="8:8" ht="23.85">
      <c r="A1039" s="2">
        <v>1837.0</v>
      </c>
      <c r="B1039" s="7" t="s">
        <v>474</v>
      </c>
      <c r="C1039" s="12" t="s">
        <v>18</v>
      </c>
      <c r="D1039" s="8" t="s">
        <v>540</v>
      </c>
      <c r="E1039" s="8" t="s">
        <v>521</v>
      </c>
      <c r="F1039" s="8" t="s">
        <v>504</v>
      </c>
      <c r="G1039" s="9" t="s">
        <v>541</v>
      </c>
      <c r="H1039" s="15">
        <v>5.0</v>
      </c>
    </row>
    <row r="1040" spans="8:8" ht="23.85" hidden="1">
      <c r="A1040" s="2">
        <v>1838.0</v>
      </c>
      <c r="B1040" s="3" t="s">
        <v>474</v>
      </c>
      <c r="C1040" s="3" t="s">
        <v>9</v>
      </c>
      <c r="D1040" s="4" t="s">
        <v>14</v>
      </c>
      <c r="E1040" s="4" t="s">
        <v>15</v>
      </c>
      <c r="F1040" s="4" t="s">
        <v>16</v>
      </c>
      <c r="G1040" s="5" t="s">
        <v>17</v>
      </c>
      <c r="H1040" s="6">
        <v>0.0</v>
      </c>
    </row>
    <row r="1041" spans="8:8" ht="15.0">
      <c r="A1041" s="2">
        <v>1839.0</v>
      </c>
      <c r="B1041" s="7" t="s">
        <v>474</v>
      </c>
      <c r="C1041" s="12" t="s">
        <v>18</v>
      </c>
      <c r="D1041" s="8" t="s">
        <v>542</v>
      </c>
      <c r="E1041" s="8" t="s">
        <v>60</v>
      </c>
      <c r="F1041" s="8" t="s">
        <v>497</v>
      </c>
      <c r="G1041" s="9" t="s">
        <v>543</v>
      </c>
      <c r="H1041" s="13">
        <v>4.0</v>
      </c>
    </row>
    <row r="1042" spans="8:8" ht="23.85" hidden="1">
      <c r="A1042" s="2">
        <v>1840.0</v>
      </c>
      <c r="B1042" s="3" t="s">
        <v>474</v>
      </c>
      <c r="C1042" s="3" t="s">
        <v>9</v>
      </c>
      <c r="D1042" s="4" t="s">
        <v>14</v>
      </c>
      <c r="E1042" s="4" t="s">
        <v>15</v>
      </c>
      <c r="F1042" s="4" t="s">
        <v>16</v>
      </c>
      <c r="G1042" s="5" t="s">
        <v>17</v>
      </c>
      <c r="H1042" s="6">
        <v>0.0</v>
      </c>
    </row>
    <row r="1043" spans="8:8" ht="15.0">
      <c r="A1043" s="2">
        <v>1841.0</v>
      </c>
      <c r="B1043" s="7" t="s">
        <v>474</v>
      </c>
      <c r="C1043" s="7" t="s">
        <v>18</v>
      </c>
      <c r="D1043" s="8" t="s">
        <v>544</v>
      </c>
      <c r="E1043" s="8" t="s">
        <v>60</v>
      </c>
      <c r="F1043" s="8" t="s">
        <v>497</v>
      </c>
      <c r="G1043" s="9" t="s">
        <v>545</v>
      </c>
      <c r="H1043" s="10">
        <v>3.0</v>
      </c>
    </row>
    <row r="1044" spans="8:8" ht="23.85" hidden="1">
      <c r="A1044" s="2">
        <v>1842.0</v>
      </c>
      <c r="B1044" s="3" t="s">
        <v>474</v>
      </c>
      <c r="C1044" s="3" t="s">
        <v>9</v>
      </c>
      <c r="D1044" s="4" t="s">
        <v>14</v>
      </c>
      <c r="E1044" s="4" t="s">
        <v>15</v>
      </c>
      <c r="F1044" s="4" t="s">
        <v>16</v>
      </c>
      <c r="G1044" s="5" t="s">
        <v>17</v>
      </c>
      <c r="H1044" s="6">
        <v>0.0</v>
      </c>
    </row>
    <row r="1045" spans="8:8" ht="23.85" hidden="1">
      <c r="A1045" s="2">
        <v>1843.0</v>
      </c>
      <c r="B1045" s="3" t="s">
        <v>474</v>
      </c>
      <c r="C1045" s="3" t="s">
        <v>9</v>
      </c>
      <c r="D1045" s="4" t="s">
        <v>14</v>
      </c>
      <c r="E1045" s="4" t="s">
        <v>15</v>
      </c>
      <c r="F1045" s="4" t="s">
        <v>16</v>
      </c>
      <c r="G1045" s="5" t="s">
        <v>17</v>
      </c>
      <c r="H1045" s="6">
        <v>0.0</v>
      </c>
    </row>
    <row r="1046" spans="8:8" ht="23.85" hidden="1">
      <c r="A1046" s="2">
        <v>1844.0</v>
      </c>
      <c r="B1046" s="3" t="s">
        <v>474</v>
      </c>
      <c r="C1046" s="3" t="s">
        <v>9</v>
      </c>
      <c r="D1046" s="4" t="s">
        <v>14</v>
      </c>
      <c r="E1046" s="4" t="s">
        <v>15</v>
      </c>
      <c r="F1046" s="4" t="s">
        <v>16</v>
      </c>
      <c r="G1046" s="5" t="s">
        <v>17</v>
      </c>
      <c r="H1046" s="6">
        <v>0.0</v>
      </c>
    </row>
    <row r="1047" spans="8:8" ht="23.85">
      <c r="A1047" s="2">
        <v>1845.0</v>
      </c>
      <c r="B1047" s="7" t="s">
        <v>474</v>
      </c>
      <c r="C1047" s="12" t="s">
        <v>18</v>
      </c>
      <c r="D1047" s="8" t="s">
        <v>546</v>
      </c>
      <c r="E1047" s="8" t="s">
        <v>451</v>
      </c>
      <c r="F1047" s="8" t="s">
        <v>477</v>
      </c>
      <c r="G1047" s="9" t="s">
        <v>547</v>
      </c>
      <c r="H1047" s="13">
        <v>4.0</v>
      </c>
    </row>
    <row r="1048" spans="8:8" ht="15.0">
      <c r="A1048" s="2">
        <v>1846.0</v>
      </c>
      <c r="B1048" s="7" t="s">
        <v>474</v>
      </c>
      <c r="C1048" s="12" t="s">
        <v>18</v>
      </c>
      <c r="D1048" s="8" t="s">
        <v>548</v>
      </c>
      <c r="E1048" s="8" t="s">
        <v>454</v>
      </c>
      <c r="F1048" s="8" t="s">
        <v>477</v>
      </c>
      <c r="G1048" s="9" t="s">
        <v>549</v>
      </c>
      <c r="H1048" s="13">
        <v>4.0</v>
      </c>
    </row>
    <row r="1049" spans="8:8" ht="23.85">
      <c r="A1049" s="2">
        <v>1847.0</v>
      </c>
      <c r="B1049" s="7" t="s">
        <v>474</v>
      </c>
      <c r="C1049" s="12" t="s">
        <v>18</v>
      </c>
      <c r="D1049" s="8" t="s">
        <v>550</v>
      </c>
      <c r="E1049" s="8" t="s">
        <v>285</v>
      </c>
      <c r="F1049" s="8" t="s">
        <v>518</v>
      </c>
      <c r="G1049" s="9" t="s">
        <v>551</v>
      </c>
      <c r="H1049" s="13">
        <v>4.0</v>
      </c>
    </row>
    <row r="1050" spans="8:8" ht="15.0">
      <c r="A1050" s="2">
        <v>1848.0</v>
      </c>
      <c r="B1050" s="7" t="s">
        <v>474</v>
      </c>
      <c r="C1050" s="7" t="s">
        <v>18</v>
      </c>
      <c r="D1050" s="8" t="s">
        <v>552</v>
      </c>
      <c r="E1050" s="8" t="s">
        <v>553</v>
      </c>
      <c r="F1050" s="8" t="s">
        <v>94</v>
      </c>
      <c r="G1050" s="9" t="s">
        <v>554</v>
      </c>
      <c r="H1050" s="11">
        <v>2.0</v>
      </c>
    </row>
    <row r="1051" spans="8:8" ht="23.85">
      <c r="A1051" s="2">
        <v>1849.0</v>
      </c>
      <c r="B1051" s="7" t="s">
        <v>474</v>
      </c>
      <c r="C1051" s="7" t="s">
        <v>18</v>
      </c>
      <c r="D1051" s="8" t="s">
        <v>555</v>
      </c>
      <c r="E1051" s="8" t="s">
        <v>556</v>
      </c>
      <c r="F1051" s="8" t="s">
        <v>477</v>
      </c>
      <c r="G1051" s="9" t="s">
        <v>557</v>
      </c>
      <c r="H1051" s="10">
        <v>3.0</v>
      </c>
    </row>
    <row r="1052" spans="8:8" ht="23.85" hidden="1">
      <c r="A1052" s="2">
        <v>1850.0</v>
      </c>
      <c r="B1052" s="3" t="s">
        <v>474</v>
      </c>
      <c r="C1052" s="3" t="s">
        <v>9</v>
      </c>
      <c r="D1052" s="4" t="s">
        <v>14</v>
      </c>
      <c r="E1052" s="4" t="s">
        <v>15</v>
      </c>
      <c r="F1052" s="4" t="s">
        <v>16</v>
      </c>
      <c r="G1052" s="5" t="s">
        <v>17</v>
      </c>
      <c r="H1052" s="6">
        <v>0.0</v>
      </c>
    </row>
    <row r="1053" spans="8:8" ht="23.85" hidden="1">
      <c r="A1053" s="2">
        <v>1851.0</v>
      </c>
      <c r="B1053" s="3" t="s">
        <v>474</v>
      </c>
      <c r="C1053" s="3" t="s">
        <v>9</v>
      </c>
      <c r="D1053" s="4" t="s">
        <v>14</v>
      </c>
      <c r="E1053" s="4" t="s">
        <v>15</v>
      </c>
      <c r="F1053" s="4" t="s">
        <v>16</v>
      </c>
      <c r="G1053" s="5" t="s">
        <v>17</v>
      </c>
      <c r="H1053" s="6">
        <v>0.0</v>
      </c>
    </row>
    <row r="1054" spans="8:8" ht="23.85" hidden="1">
      <c r="A1054" s="2">
        <v>1852.0</v>
      </c>
      <c r="B1054" s="3" t="s">
        <v>474</v>
      </c>
      <c r="C1054" s="3" t="s">
        <v>9</v>
      </c>
      <c r="D1054" s="4" t="s">
        <v>14</v>
      </c>
      <c r="E1054" s="4" t="s">
        <v>15</v>
      </c>
      <c r="F1054" s="4" t="s">
        <v>16</v>
      </c>
      <c r="G1054" s="5" t="s">
        <v>17</v>
      </c>
      <c r="H1054" s="6">
        <v>0.0</v>
      </c>
    </row>
    <row r="1055" spans="8:8" ht="23.85" hidden="1">
      <c r="A1055" s="2">
        <v>1853.0</v>
      </c>
      <c r="B1055" s="3" t="s">
        <v>474</v>
      </c>
      <c r="C1055" s="3" t="s">
        <v>9</v>
      </c>
      <c r="D1055" s="4" t="s">
        <v>14</v>
      </c>
      <c r="E1055" s="4" t="s">
        <v>15</v>
      </c>
      <c r="F1055" s="4" t="s">
        <v>16</v>
      </c>
      <c r="G1055" s="5" t="s">
        <v>17</v>
      </c>
      <c r="H1055" s="6">
        <v>0.0</v>
      </c>
    </row>
    <row r="1056" spans="8:8" ht="23.85" hidden="1">
      <c r="A1056" s="2">
        <v>1854.0</v>
      </c>
      <c r="B1056" s="3" t="s">
        <v>474</v>
      </c>
      <c r="C1056" s="3" t="s">
        <v>9</v>
      </c>
      <c r="D1056" s="4" t="s">
        <v>14</v>
      </c>
      <c r="E1056" s="4" t="s">
        <v>15</v>
      </c>
      <c r="F1056" s="4" t="s">
        <v>16</v>
      </c>
      <c r="G1056" s="5" t="s">
        <v>17</v>
      </c>
      <c r="H1056" s="6">
        <v>0.0</v>
      </c>
    </row>
    <row r="1057" spans="8:8" ht="23.85" hidden="1">
      <c r="A1057" s="2">
        <v>1855.0</v>
      </c>
      <c r="B1057" s="3" t="s">
        <v>474</v>
      </c>
      <c r="C1057" s="3" t="s">
        <v>9</v>
      </c>
      <c r="D1057" s="4" t="s">
        <v>14</v>
      </c>
      <c r="E1057" s="4" t="s">
        <v>15</v>
      </c>
      <c r="F1057" s="4" t="s">
        <v>16</v>
      </c>
      <c r="G1057" s="5" t="s">
        <v>17</v>
      </c>
      <c r="H1057" s="6">
        <v>0.0</v>
      </c>
    </row>
    <row r="1058" spans="8:8" ht="15.0">
      <c r="A1058" s="2">
        <v>1856.0</v>
      </c>
      <c r="B1058" s="7" t="s">
        <v>474</v>
      </c>
      <c r="C1058" s="7" t="s">
        <v>18</v>
      </c>
      <c r="D1058" s="8" t="s">
        <v>558</v>
      </c>
      <c r="E1058" s="8" t="s">
        <v>559</v>
      </c>
      <c r="F1058" s="8" t="s">
        <v>477</v>
      </c>
      <c r="G1058" s="9" t="s">
        <v>560</v>
      </c>
      <c r="H1058" s="11">
        <v>2.0</v>
      </c>
    </row>
    <row r="1059" spans="8:8" ht="23.85">
      <c r="A1059" s="2">
        <v>1857.0</v>
      </c>
      <c r="B1059" s="7" t="s">
        <v>474</v>
      </c>
      <c r="C1059" s="12" t="s">
        <v>18</v>
      </c>
      <c r="D1059" s="8" t="s">
        <v>561</v>
      </c>
      <c r="E1059" s="8" t="s">
        <v>285</v>
      </c>
      <c r="F1059" s="8" t="s">
        <v>562</v>
      </c>
      <c r="G1059" s="9" t="s">
        <v>563</v>
      </c>
      <c r="H1059" s="15">
        <v>5.0</v>
      </c>
    </row>
    <row r="1060" spans="8:8" ht="23.85" hidden="1">
      <c r="A1060" s="2">
        <v>1858.0</v>
      </c>
      <c r="B1060" s="3" t="s">
        <v>474</v>
      </c>
      <c r="C1060" s="3" t="s">
        <v>9</v>
      </c>
      <c r="D1060" s="4" t="s">
        <v>14</v>
      </c>
      <c r="E1060" s="4" t="s">
        <v>15</v>
      </c>
      <c r="F1060" s="4" t="s">
        <v>16</v>
      </c>
      <c r="G1060" s="5" t="s">
        <v>17</v>
      </c>
      <c r="H1060" s="6">
        <v>0.0</v>
      </c>
    </row>
    <row r="1061" spans="8:8" ht="23.85" hidden="1">
      <c r="A1061" s="2">
        <v>1859.0</v>
      </c>
      <c r="B1061" s="3" t="s">
        <v>474</v>
      </c>
      <c r="C1061" s="3" t="s">
        <v>9</v>
      </c>
      <c r="D1061" s="4" t="s">
        <v>14</v>
      </c>
      <c r="E1061" s="4" t="s">
        <v>15</v>
      </c>
      <c r="F1061" s="4" t="s">
        <v>16</v>
      </c>
      <c r="G1061" s="5" t="s">
        <v>17</v>
      </c>
      <c r="H1061" s="6">
        <v>0.0</v>
      </c>
    </row>
    <row r="1062" spans="8:8" ht="23.85" hidden="1">
      <c r="A1062" s="2">
        <v>1860.0</v>
      </c>
      <c r="B1062" s="3" t="s">
        <v>474</v>
      </c>
      <c r="C1062" s="3" t="s">
        <v>9</v>
      </c>
      <c r="D1062" s="4" t="s">
        <v>14</v>
      </c>
      <c r="E1062" s="4" t="s">
        <v>15</v>
      </c>
      <c r="F1062" s="4" t="s">
        <v>16</v>
      </c>
      <c r="G1062" s="5" t="s">
        <v>17</v>
      </c>
      <c r="H1062" s="6">
        <v>0.0</v>
      </c>
    </row>
    <row r="1063" spans="8:8" ht="15.0">
      <c r="A1063" s="2">
        <v>1861.0</v>
      </c>
      <c r="B1063" s="7" t="s">
        <v>474</v>
      </c>
      <c r="C1063" s="7" t="s">
        <v>18</v>
      </c>
      <c r="D1063" s="8" t="s">
        <v>564</v>
      </c>
      <c r="E1063" s="8" t="s">
        <v>152</v>
      </c>
      <c r="F1063" s="8" t="s">
        <v>497</v>
      </c>
      <c r="G1063" s="9" t="s">
        <v>565</v>
      </c>
      <c r="H1063" s="10">
        <v>3.0</v>
      </c>
    </row>
    <row r="1064" spans="8:8" ht="23.85" hidden="1">
      <c r="A1064" s="2">
        <v>1862.0</v>
      </c>
      <c r="B1064" s="3" t="s">
        <v>474</v>
      </c>
      <c r="C1064" s="3" t="s">
        <v>9</v>
      </c>
      <c r="D1064" s="4" t="s">
        <v>14</v>
      </c>
      <c r="E1064" s="4" t="s">
        <v>15</v>
      </c>
      <c r="F1064" s="4" t="s">
        <v>16</v>
      </c>
      <c r="G1064" s="5" t="s">
        <v>17</v>
      </c>
      <c r="H1064" s="6">
        <v>0.0</v>
      </c>
    </row>
    <row r="1065" spans="8:8" ht="23.85">
      <c r="A1065" s="2">
        <v>1863.0</v>
      </c>
      <c r="B1065" s="7" t="s">
        <v>474</v>
      </c>
      <c r="C1065" s="7" t="s">
        <v>18</v>
      </c>
      <c r="D1065" s="8" t="s">
        <v>566</v>
      </c>
      <c r="E1065" s="8" t="s">
        <v>451</v>
      </c>
      <c r="F1065" s="8" t="s">
        <v>567</v>
      </c>
      <c r="G1065" s="9" t="s">
        <v>568</v>
      </c>
      <c r="H1065" s="10">
        <v>3.0</v>
      </c>
    </row>
    <row r="1066" spans="8:8" ht="15.0">
      <c r="A1066" s="2">
        <v>1864.0</v>
      </c>
      <c r="B1066" s="7" t="s">
        <v>474</v>
      </c>
      <c r="C1066" s="7" t="s">
        <v>18</v>
      </c>
      <c r="D1066" s="8" t="s">
        <v>569</v>
      </c>
      <c r="E1066" s="8" t="s">
        <v>451</v>
      </c>
      <c r="F1066" s="8" t="s">
        <v>570</v>
      </c>
      <c r="G1066" s="9" t="s">
        <v>571</v>
      </c>
      <c r="H1066" s="10">
        <v>3.0</v>
      </c>
    </row>
    <row r="1067" spans="8:8" ht="23.85">
      <c r="A1067" s="2">
        <v>1865.0</v>
      </c>
      <c r="B1067" s="7" t="s">
        <v>474</v>
      </c>
      <c r="C1067" s="12" t="s">
        <v>18</v>
      </c>
      <c r="D1067" s="8" t="s">
        <v>572</v>
      </c>
      <c r="E1067" s="8" t="s">
        <v>454</v>
      </c>
      <c r="F1067" s="8" t="s">
        <v>567</v>
      </c>
      <c r="G1067" s="9" t="s">
        <v>573</v>
      </c>
      <c r="H1067" s="13">
        <v>4.0</v>
      </c>
    </row>
    <row r="1068" spans="8:8" ht="23.85">
      <c r="A1068" s="2">
        <v>1866.0</v>
      </c>
      <c r="B1068" s="7" t="s">
        <v>474</v>
      </c>
      <c r="C1068" s="12" t="s">
        <v>18</v>
      </c>
      <c r="D1068" s="8" t="s">
        <v>574</v>
      </c>
      <c r="E1068" s="8" t="s">
        <v>285</v>
      </c>
      <c r="F1068" s="8" t="s">
        <v>477</v>
      </c>
      <c r="G1068" s="9" t="s">
        <v>575</v>
      </c>
      <c r="H1068" s="15">
        <v>5.0</v>
      </c>
    </row>
    <row r="1069" spans="8:8" ht="23.85" hidden="1">
      <c r="A1069" s="2">
        <v>1867.0</v>
      </c>
      <c r="B1069" s="3" t="s">
        <v>474</v>
      </c>
      <c r="C1069" s="3" t="s">
        <v>9</v>
      </c>
      <c r="D1069" s="4" t="s">
        <v>14</v>
      </c>
      <c r="E1069" s="4" t="s">
        <v>15</v>
      </c>
      <c r="F1069" s="4" t="s">
        <v>16</v>
      </c>
      <c r="G1069" s="5" t="s">
        <v>17</v>
      </c>
      <c r="H1069" s="6">
        <v>0.0</v>
      </c>
    </row>
    <row r="1070" spans="8:8" ht="23.85">
      <c r="A1070" s="2">
        <v>1868.0</v>
      </c>
      <c r="B1070" s="7" t="s">
        <v>474</v>
      </c>
      <c r="C1070" s="7" t="s">
        <v>18</v>
      </c>
      <c r="D1070" s="8" t="s">
        <v>576</v>
      </c>
      <c r="E1070" s="8" t="s">
        <v>577</v>
      </c>
      <c r="F1070" s="8" t="s">
        <v>497</v>
      </c>
      <c r="G1070" s="9" t="s">
        <v>578</v>
      </c>
      <c r="H1070" s="11">
        <v>2.0</v>
      </c>
    </row>
    <row r="1071" spans="8:8" ht="23.85">
      <c r="A1071" s="2">
        <v>1869.0</v>
      </c>
      <c r="B1071" s="7" t="s">
        <v>474</v>
      </c>
      <c r="C1071" s="7" t="s">
        <v>18</v>
      </c>
      <c r="D1071" s="8" t="s">
        <v>579</v>
      </c>
      <c r="E1071" s="8" t="s">
        <v>577</v>
      </c>
      <c r="F1071" s="8" t="s">
        <v>497</v>
      </c>
      <c r="G1071" s="9" t="s">
        <v>580</v>
      </c>
      <c r="H1071" s="10">
        <v>3.0</v>
      </c>
    </row>
    <row r="1072" spans="8:8" ht="23.85" hidden="1">
      <c r="A1072" s="2">
        <v>1870.0</v>
      </c>
      <c r="B1072" s="3" t="s">
        <v>474</v>
      </c>
      <c r="C1072" s="3" t="s">
        <v>9</v>
      </c>
      <c r="D1072" s="4" t="s">
        <v>14</v>
      </c>
      <c r="E1072" s="4" t="s">
        <v>15</v>
      </c>
      <c r="F1072" s="4" t="s">
        <v>16</v>
      </c>
      <c r="G1072" s="5" t="s">
        <v>17</v>
      </c>
      <c r="H1072" s="6">
        <v>0.0</v>
      </c>
    </row>
    <row r="1073" spans="8:8" ht="23.85" hidden="1">
      <c r="A1073" s="2">
        <v>1871.0</v>
      </c>
      <c r="B1073" s="3" t="s">
        <v>474</v>
      </c>
      <c r="C1073" s="3" t="s">
        <v>9</v>
      </c>
      <c r="D1073" s="4" t="s">
        <v>14</v>
      </c>
      <c r="E1073" s="4" t="s">
        <v>15</v>
      </c>
      <c r="F1073" s="4" t="s">
        <v>16</v>
      </c>
      <c r="G1073" s="5" t="s">
        <v>17</v>
      </c>
      <c r="H1073" s="6">
        <v>0.0</v>
      </c>
    </row>
    <row r="1074" spans="8:8" ht="23.85">
      <c r="A1074" s="2">
        <v>1872.0</v>
      </c>
      <c r="B1074" s="7" t="s">
        <v>474</v>
      </c>
      <c r="C1074" s="7" t="s">
        <v>18</v>
      </c>
      <c r="D1074" s="8" t="s">
        <v>581</v>
      </c>
      <c r="E1074" s="8" t="s">
        <v>582</v>
      </c>
      <c r="F1074" s="8" t="s">
        <v>497</v>
      </c>
      <c r="G1074" s="9" t="s">
        <v>583</v>
      </c>
      <c r="H1074" s="10">
        <v>3.0</v>
      </c>
    </row>
    <row r="1075" spans="8:8" ht="23.85">
      <c r="A1075" s="2">
        <v>1873.0</v>
      </c>
      <c r="B1075" s="7" t="s">
        <v>474</v>
      </c>
      <c r="C1075" s="12" t="s">
        <v>18</v>
      </c>
      <c r="D1075" s="8" t="s">
        <v>584</v>
      </c>
      <c r="E1075" s="8" t="s">
        <v>521</v>
      </c>
      <c r="F1075" s="8" t="s">
        <v>585</v>
      </c>
      <c r="G1075" s="9" t="s">
        <v>586</v>
      </c>
      <c r="H1075" s="15">
        <v>5.0</v>
      </c>
    </row>
    <row r="1076" spans="8:8" ht="23.85" hidden="1">
      <c r="A1076" s="2">
        <v>1874.0</v>
      </c>
      <c r="B1076" s="3" t="s">
        <v>474</v>
      </c>
      <c r="C1076" s="3" t="s">
        <v>9</v>
      </c>
      <c r="D1076" s="4" t="s">
        <v>14</v>
      </c>
      <c r="E1076" s="4" t="s">
        <v>15</v>
      </c>
      <c r="F1076" s="4" t="s">
        <v>16</v>
      </c>
      <c r="G1076" s="5" t="s">
        <v>17</v>
      </c>
      <c r="H1076" s="6">
        <v>0.0</v>
      </c>
    </row>
    <row r="1077" spans="8:8" ht="23.85" hidden="1">
      <c r="A1077" s="2">
        <v>1875.0</v>
      </c>
      <c r="B1077" s="3" t="s">
        <v>474</v>
      </c>
      <c r="C1077" s="3" t="s">
        <v>9</v>
      </c>
      <c r="D1077" s="4" t="s">
        <v>14</v>
      </c>
      <c r="E1077" s="4" t="s">
        <v>15</v>
      </c>
      <c r="F1077" s="4" t="s">
        <v>16</v>
      </c>
      <c r="G1077" s="5" t="s">
        <v>17</v>
      </c>
      <c r="H1077" s="6">
        <v>0.0</v>
      </c>
    </row>
    <row r="1078" spans="8:8" ht="23.85" hidden="1">
      <c r="A1078" s="2">
        <v>1876.0</v>
      </c>
      <c r="B1078" s="3" t="s">
        <v>474</v>
      </c>
      <c r="C1078" s="3" t="s">
        <v>9</v>
      </c>
      <c r="D1078" s="4" t="s">
        <v>14</v>
      </c>
      <c r="E1078" s="4" t="s">
        <v>15</v>
      </c>
      <c r="F1078" s="4" t="s">
        <v>16</v>
      </c>
      <c r="G1078" s="5" t="s">
        <v>17</v>
      </c>
      <c r="H1078" s="6">
        <v>0.0</v>
      </c>
    </row>
    <row r="1079" spans="8:8" ht="23.85" hidden="1">
      <c r="A1079" s="2">
        <v>1877.0</v>
      </c>
      <c r="B1079" s="3" t="s">
        <v>474</v>
      </c>
      <c r="C1079" s="3" t="s">
        <v>9</v>
      </c>
      <c r="D1079" s="4" t="s">
        <v>14</v>
      </c>
      <c r="E1079" s="4" t="s">
        <v>15</v>
      </c>
      <c r="F1079" s="4" t="s">
        <v>16</v>
      </c>
      <c r="G1079" s="5" t="s">
        <v>17</v>
      </c>
      <c r="H1079" s="6">
        <v>0.0</v>
      </c>
    </row>
    <row r="1080" spans="8:8" ht="23.85">
      <c r="A1080" s="2">
        <v>1878.0</v>
      </c>
      <c r="B1080" s="7" t="s">
        <v>474</v>
      </c>
      <c r="C1080" s="7" t="s">
        <v>18</v>
      </c>
      <c r="D1080" s="8" t="s">
        <v>587</v>
      </c>
      <c r="E1080" s="8" t="s">
        <v>559</v>
      </c>
      <c r="F1080" s="8" t="s">
        <v>477</v>
      </c>
      <c r="G1080" s="9" t="s">
        <v>588</v>
      </c>
      <c r="H1080" s="10">
        <v>3.0</v>
      </c>
    </row>
    <row r="1081" spans="8:8" ht="23.85" hidden="1">
      <c r="A1081" s="2">
        <v>1879.0</v>
      </c>
      <c r="B1081" s="3" t="s">
        <v>474</v>
      </c>
      <c r="C1081" s="3" t="s">
        <v>9</v>
      </c>
      <c r="D1081" s="4" t="s">
        <v>14</v>
      </c>
      <c r="E1081" s="4" t="s">
        <v>15</v>
      </c>
      <c r="F1081" s="4" t="s">
        <v>16</v>
      </c>
      <c r="G1081" s="5" t="s">
        <v>17</v>
      </c>
      <c r="H1081" s="6">
        <v>0.0</v>
      </c>
    </row>
    <row r="1082" spans="8:8" ht="23.85" hidden="1">
      <c r="A1082" s="2">
        <v>1880.0</v>
      </c>
      <c r="B1082" s="3" t="s">
        <v>474</v>
      </c>
      <c r="C1082" s="3" t="s">
        <v>9</v>
      </c>
      <c r="D1082" s="4" t="s">
        <v>14</v>
      </c>
      <c r="E1082" s="4" t="s">
        <v>15</v>
      </c>
      <c r="F1082" s="4" t="s">
        <v>16</v>
      </c>
      <c r="G1082" s="5" t="s">
        <v>17</v>
      </c>
      <c r="H1082" s="6">
        <v>0.0</v>
      </c>
    </row>
    <row r="1083" spans="8:8" ht="23.85" hidden="1">
      <c r="A1083" s="2">
        <v>1881.0</v>
      </c>
      <c r="B1083" s="3" t="s">
        <v>474</v>
      </c>
      <c r="C1083" s="3" t="s">
        <v>9</v>
      </c>
      <c r="D1083" s="4" t="s">
        <v>14</v>
      </c>
      <c r="E1083" s="4" t="s">
        <v>15</v>
      </c>
      <c r="F1083" s="4" t="s">
        <v>16</v>
      </c>
      <c r="G1083" s="5" t="s">
        <v>17</v>
      </c>
      <c r="H1083" s="6">
        <v>0.0</v>
      </c>
    </row>
    <row r="1084" spans="8:8" ht="23.85">
      <c r="A1084" s="2">
        <v>1882.0</v>
      </c>
      <c r="B1084" s="7" t="s">
        <v>474</v>
      </c>
      <c r="C1084" s="7" t="s">
        <v>18</v>
      </c>
      <c r="D1084" s="8" t="s">
        <v>589</v>
      </c>
      <c r="E1084" s="8" t="s">
        <v>285</v>
      </c>
      <c r="F1084" s="8" t="s">
        <v>214</v>
      </c>
      <c r="G1084" s="9" t="s">
        <v>590</v>
      </c>
      <c r="H1084" s="10">
        <v>3.0</v>
      </c>
    </row>
    <row r="1085" spans="8:8" ht="23.85" hidden="1">
      <c r="A1085" s="2">
        <v>1883.0</v>
      </c>
      <c r="B1085" s="3" t="s">
        <v>474</v>
      </c>
      <c r="C1085" s="3" t="s">
        <v>9</v>
      </c>
      <c r="D1085" s="4" t="s">
        <v>14</v>
      </c>
      <c r="E1085" s="4" t="s">
        <v>15</v>
      </c>
      <c r="F1085" s="4" t="s">
        <v>16</v>
      </c>
      <c r="G1085" s="5" t="s">
        <v>17</v>
      </c>
      <c r="H1085" s="6">
        <v>0.0</v>
      </c>
    </row>
    <row r="1086" spans="8:8" ht="23.85">
      <c r="A1086" s="2">
        <v>1884.0</v>
      </c>
      <c r="B1086" s="7" t="s">
        <v>474</v>
      </c>
      <c r="C1086" s="7" t="s">
        <v>18</v>
      </c>
      <c r="D1086" s="8" t="s">
        <v>591</v>
      </c>
      <c r="E1086" s="8" t="s">
        <v>592</v>
      </c>
      <c r="F1086" s="8" t="s">
        <v>497</v>
      </c>
      <c r="G1086" s="9" t="s">
        <v>593</v>
      </c>
      <c r="H1086" s="10">
        <v>3.0</v>
      </c>
    </row>
    <row r="1087" spans="8:8" ht="23.85" hidden="1">
      <c r="A1087" s="2">
        <v>1885.0</v>
      </c>
      <c r="B1087" s="3" t="s">
        <v>474</v>
      </c>
      <c r="C1087" s="3" t="s">
        <v>9</v>
      </c>
      <c r="D1087" s="4" t="s">
        <v>14</v>
      </c>
      <c r="E1087" s="4" t="s">
        <v>15</v>
      </c>
      <c r="F1087" s="4" t="s">
        <v>16</v>
      </c>
      <c r="G1087" s="5" t="s">
        <v>17</v>
      </c>
      <c r="H1087" s="6">
        <v>0.0</v>
      </c>
    </row>
    <row r="1088" spans="8:8" ht="23.85" hidden="1">
      <c r="A1088" s="2">
        <v>1886.0</v>
      </c>
      <c r="B1088" s="3" t="s">
        <v>474</v>
      </c>
      <c r="C1088" s="3" t="s">
        <v>9</v>
      </c>
      <c r="D1088" s="4" t="s">
        <v>14</v>
      </c>
      <c r="E1088" s="4" t="s">
        <v>15</v>
      </c>
      <c r="F1088" s="4" t="s">
        <v>16</v>
      </c>
      <c r="G1088" s="5" t="s">
        <v>17</v>
      </c>
      <c r="H1088" s="6">
        <v>0.0</v>
      </c>
    </row>
    <row r="1089" spans="8:8" ht="23.85" hidden="1">
      <c r="A1089" s="2">
        <v>1887.0</v>
      </c>
      <c r="B1089" s="3" t="s">
        <v>474</v>
      </c>
      <c r="C1089" s="3" t="s">
        <v>9</v>
      </c>
      <c r="D1089" s="4" t="s">
        <v>14</v>
      </c>
      <c r="E1089" s="4" t="s">
        <v>15</v>
      </c>
      <c r="F1089" s="4" t="s">
        <v>16</v>
      </c>
      <c r="G1089" s="5" t="s">
        <v>17</v>
      </c>
      <c r="H1089" s="6">
        <v>0.0</v>
      </c>
    </row>
    <row r="1090" spans="8:8" ht="23.85" hidden="1">
      <c r="A1090" s="2">
        <v>1888.0</v>
      </c>
      <c r="B1090" s="3" t="s">
        <v>474</v>
      </c>
      <c r="C1090" s="3" t="s">
        <v>9</v>
      </c>
      <c r="D1090" s="4" t="s">
        <v>14</v>
      </c>
      <c r="E1090" s="4" t="s">
        <v>15</v>
      </c>
      <c r="F1090" s="4" t="s">
        <v>16</v>
      </c>
      <c r="G1090" s="5" t="s">
        <v>17</v>
      </c>
      <c r="H1090" s="6">
        <v>0.0</v>
      </c>
    </row>
    <row r="1091" spans="8:8" ht="15.0">
      <c r="A1091" s="2">
        <v>1889.0</v>
      </c>
      <c r="B1091" s="7" t="s">
        <v>474</v>
      </c>
      <c r="C1091" s="7" t="s">
        <v>18</v>
      </c>
      <c r="D1091" s="8" t="s">
        <v>594</v>
      </c>
      <c r="E1091" s="8" t="s">
        <v>595</v>
      </c>
      <c r="F1091" s="8" t="s">
        <v>214</v>
      </c>
      <c r="G1091" s="9" t="s">
        <v>596</v>
      </c>
      <c r="H1091" s="10">
        <v>3.0</v>
      </c>
    </row>
    <row r="1092" spans="8:8" ht="23.85">
      <c r="A1092" s="2">
        <v>1890.0</v>
      </c>
      <c r="B1092" s="7" t="s">
        <v>474</v>
      </c>
      <c r="C1092" s="12" t="s">
        <v>18</v>
      </c>
      <c r="D1092" s="8" t="s">
        <v>597</v>
      </c>
      <c r="E1092" s="8" t="s">
        <v>285</v>
      </c>
      <c r="F1092" s="8" t="s">
        <v>598</v>
      </c>
      <c r="G1092" s="9" t="s">
        <v>599</v>
      </c>
      <c r="H1092" s="13">
        <v>4.0</v>
      </c>
    </row>
    <row r="1093" spans="8:8" ht="23.85" hidden="1">
      <c r="A1093" s="2">
        <v>1891.0</v>
      </c>
      <c r="B1093" s="3" t="s">
        <v>474</v>
      </c>
      <c r="C1093" s="3" t="s">
        <v>9</v>
      </c>
      <c r="D1093" s="4" t="s">
        <v>14</v>
      </c>
      <c r="E1093" s="4" t="s">
        <v>15</v>
      </c>
      <c r="F1093" s="4" t="s">
        <v>16</v>
      </c>
      <c r="G1093" s="5" t="s">
        <v>17</v>
      </c>
      <c r="H1093" s="6">
        <v>0.0</v>
      </c>
    </row>
    <row r="1094" spans="8:8" ht="23.85">
      <c r="A1094" s="2">
        <v>1892.0</v>
      </c>
      <c r="B1094" s="7" t="s">
        <v>474</v>
      </c>
      <c r="C1094" s="7" t="s">
        <v>18</v>
      </c>
      <c r="D1094" s="8" t="s">
        <v>600</v>
      </c>
      <c r="E1094" s="8" t="s">
        <v>582</v>
      </c>
      <c r="F1094" s="8" t="s">
        <v>214</v>
      </c>
      <c r="G1094" s="9" t="s">
        <v>601</v>
      </c>
      <c r="H1094" s="10">
        <v>3.0</v>
      </c>
    </row>
    <row r="1095" spans="8:8" ht="23.85">
      <c r="A1095" s="2">
        <v>1893.0</v>
      </c>
      <c r="B1095" s="7" t="s">
        <v>474</v>
      </c>
      <c r="C1095" s="12" t="s">
        <v>18</v>
      </c>
      <c r="D1095" s="8" t="s">
        <v>602</v>
      </c>
      <c r="E1095" s="8" t="s">
        <v>521</v>
      </c>
      <c r="F1095" s="8" t="s">
        <v>603</v>
      </c>
      <c r="G1095" s="9" t="s">
        <v>604</v>
      </c>
      <c r="H1095" s="15">
        <v>5.0</v>
      </c>
    </row>
    <row r="1096" spans="8:8" ht="23.85" hidden="1">
      <c r="A1096" s="2">
        <v>1894.0</v>
      </c>
      <c r="B1096" s="3" t="s">
        <v>474</v>
      </c>
      <c r="C1096" s="3" t="s">
        <v>9</v>
      </c>
      <c r="D1096" s="4" t="s">
        <v>14</v>
      </c>
      <c r="E1096" s="4" t="s">
        <v>15</v>
      </c>
      <c r="F1096" s="4" t="s">
        <v>16</v>
      </c>
      <c r="G1096" s="5" t="s">
        <v>17</v>
      </c>
      <c r="H1096" s="6">
        <v>0.0</v>
      </c>
    </row>
    <row r="1097" spans="8:8" ht="23.85">
      <c r="A1097" s="2">
        <v>1895.0</v>
      </c>
      <c r="B1097" s="7" t="s">
        <v>474</v>
      </c>
      <c r="C1097" s="7" t="s">
        <v>18</v>
      </c>
      <c r="D1097" s="8" t="s">
        <v>605</v>
      </c>
      <c r="E1097" s="8" t="s">
        <v>606</v>
      </c>
      <c r="F1097" s="8" t="s">
        <v>497</v>
      </c>
      <c r="G1097" s="9" t="s">
        <v>607</v>
      </c>
      <c r="H1097" s="11">
        <v>2.0</v>
      </c>
    </row>
    <row r="1098" spans="8:8" ht="23.85" hidden="1">
      <c r="A1098" s="2">
        <v>1896.0</v>
      </c>
      <c r="B1098" s="3" t="s">
        <v>474</v>
      </c>
      <c r="C1098" s="3" t="s">
        <v>9</v>
      </c>
      <c r="D1098" s="4" t="s">
        <v>14</v>
      </c>
      <c r="E1098" s="4" t="s">
        <v>15</v>
      </c>
      <c r="F1098" s="4" t="s">
        <v>16</v>
      </c>
      <c r="G1098" s="5" t="s">
        <v>17</v>
      </c>
      <c r="H1098" s="6">
        <v>0.0</v>
      </c>
    </row>
    <row r="1099" spans="8:8" ht="23.85" hidden="1">
      <c r="A1099" s="2">
        <v>1897.0</v>
      </c>
      <c r="B1099" s="3" t="s">
        <v>474</v>
      </c>
      <c r="C1099" s="3" t="s">
        <v>9</v>
      </c>
      <c r="D1099" s="4" t="s">
        <v>14</v>
      </c>
      <c r="E1099" s="4" t="s">
        <v>15</v>
      </c>
      <c r="F1099" s="4" t="s">
        <v>16</v>
      </c>
      <c r="G1099" s="5" t="s">
        <v>17</v>
      </c>
      <c r="H1099" s="6">
        <v>0.0</v>
      </c>
    </row>
    <row r="1100" spans="8:8" ht="23.85" hidden="1">
      <c r="A1100" s="2">
        <v>1898.0</v>
      </c>
      <c r="B1100" s="3" t="s">
        <v>474</v>
      </c>
      <c r="C1100" s="3" t="s">
        <v>9</v>
      </c>
      <c r="D1100" s="4" t="s">
        <v>14</v>
      </c>
      <c r="E1100" s="4" t="s">
        <v>15</v>
      </c>
      <c r="F1100" s="4" t="s">
        <v>16</v>
      </c>
      <c r="G1100" s="5" t="s">
        <v>17</v>
      </c>
      <c r="H1100" s="6">
        <v>0.0</v>
      </c>
    </row>
    <row r="1101" spans="8:8" ht="23.85" hidden="1">
      <c r="A1101" s="2">
        <v>1899.0</v>
      </c>
      <c r="B1101" s="3" t="s">
        <v>474</v>
      </c>
      <c r="C1101" s="3" t="s">
        <v>9</v>
      </c>
      <c r="D1101" s="4" t="s">
        <v>14</v>
      </c>
      <c r="E1101" s="4" t="s">
        <v>15</v>
      </c>
      <c r="F1101" s="4" t="s">
        <v>16</v>
      </c>
      <c r="G1101" s="5" t="s">
        <v>17</v>
      </c>
      <c r="H1101" s="6">
        <v>0.0</v>
      </c>
    </row>
    <row r="1102" spans="8:8" ht="23.85" hidden="1">
      <c r="A1102" s="2">
        <v>1900.0</v>
      </c>
      <c r="B1102" s="3" t="s">
        <v>474</v>
      </c>
      <c r="C1102" s="3" t="s">
        <v>9</v>
      </c>
      <c r="D1102" s="4" t="s">
        <v>14</v>
      </c>
      <c r="E1102" s="4" t="s">
        <v>15</v>
      </c>
      <c r="F1102" s="4" t="s">
        <v>16</v>
      </c>
      <c r="G1102" s="5" t="s">
        <v>17</v>
      </c>
      <c r="H1102" s="6">
        <v>0.0</v>
      </c>
    </row>
    <row r="1103" spans="8:8" ht="23.85">
      <c r="A1103" s="2">
        <v>1901.0</v>
      </c>
      <c r="B1103" s="7" t="s">
        <v>474</v>
      </c>
      <c r="C1103" s="7" t="s">
        <v>18</v>
      </c>
      <c r="D1103" s="8" t="s">
        <v>608</v>
      </c>
      <c r="E1103" s="8" t="s">
        <v>609</v>
      </c>
      <c r="F1103" s="8" t="s">
        <v>497</v>
      </c>
      <c r="G1103" s="9" t="s">
        <v>610</v>
      </c>
      <c r="H1103" s="10">
        <v>3.0</v>
      </c>
    </row>
    <row r="1104" spans="8:8" ht="23.85" hidden="1">
      <c r="A1104" s="2">
        <v>1902.0</v>
      </c>
      <c r="B1104" s="3" t="s">
        <v>474</v>
      </c>
      <c r="C1104" s="3" t="s">
        <v>9</v>
      </c>
      <c r="D1104" s="4" t="s">
        <v>14</v>
      </c>
      <c r="E1104" s="4" t="s">
        <v>15</v>
      </c>
      <c r="F1104" s="4" t="s">
        <v>16</v>
      </c>
      <c r="G1104" s="5" t="s">
        <v>17</v>
      </c>
      <c r="H1104" s="6">
        <v>0.0</v>
      </c>
    </row>
    <row r="1105" spans="8:8" ht="15.0">
      <c r="A1105" s="2">
        <v>1903.0</v>
      </c>
      <c r="B1105" s="7" t="s">
        <v>474</v>
      </c>
      <c r="C1105" s="7" t="s">
        <v>18</v>
      </c>
      <c r="D1105" s="8" t="s">
        <v>611</v>
      </c>
      <c r="E1105" s="8" t="s">
        <v>612</v>
      </c>
      <c r="F1105" s="8" t="s">
        <v>497</v>
      </c>
      <c r="G1105" s="9" t="s">
        <v>613</v>
      </c>
      <c r="H1105" s="11">
        <v>2.0</v>
      </c>
    </row>
    <row r="1106" spans="8:8" ht="23.85" hidden="1">
      <c r="A1106" s="2">
        <v>1904.0</v>
      </c>
      <c r="B1106" s="3" t="s">
        <v>474</v>
      </c>
      <c r="C1106" s="3" t="s">
        <v>9</v>
      </c>
      <c r="D1106" s="4" t="s">
        <v>14</v>
      </c>
      <c r="E1106" s="4" t="s">
        <v>15</v>
      </c>
      <c r="F1106" s="4" t="s">
        <v>16</v>
      </c>
      <c r="G1106" s="5" t="s">
        <v>17</v>
      </c>
      <c r="H1106" s="6">
        <v>0.0</v>
      </c>
    </row>
    <row r="1107" spans="8:8" ht="23.85" hidden="1">
      <c r="A1107" s="2">
        <v>1905.0</v>
      </c>
      <c r="B1107" s="3" t="s">
        <v>474</v>
      </c>
      <c r="C1107" s="3" t="s">
        <v>9</v>
      </c>
      <c r="D1107" s="4" t="s">
        <v>14</v>
      </c>
      <c r="E1107" s="4" t="s">
        <v>15</v>
      </c>
      <c r="F1107" s="4" t="s">
        <v>16</v>
      </c>
      <c r="G1107" s="5" t="s">
        <v>17</v>
      </c>
      <c r="H1107" s="6">
        <v>0.0</v>
      </c>
    </row>
    <row r="1108" spans="8:8" ht="23.85" hidden="1">
      <c r="A1108" s="2">
        <v>1906.0</v>
      </c>
      <c r="B1108" s="3" t="s">
        <v>474</v>
      </c>
      <c r="C1108" s="3" t="s">
        <v>9</v>
      </c>
      <c r="D1108" s="4" t="s">
        <v>14</v>
      </c>
      <c r="E1108" s="4" t="s">
        <v>15</v>
      </c>
      <c r="F1108" s="4" t="s">
        <v>16</v>
      </c>
      <c r="G1108" s="5" t="s">
        <v>17</v>
      </c>
      <c r="H1108" s="6">
        <v>0.0</v>
      </c>
    </row>
    <row r="1109" spans="8:8" ht="23.85">
      <c r="A1109" s="2">
        <v>1907.0</v>
      </c>
      <c r="B1109" s="7" t="s">
        <v>474</v>
      </c>
      <c r="C1109" s="12" t="s">
        <v>18</v>
      </c>
      <c r="D1109" s="8" t="s">
        <v>614</v>
      </c>
      <c r="E1109" s="8" t="s">
        <v>285</v>
      </c>
      <c r="F1109" s="8" t="s">
        <v>497</v>
      </c>
      <c r="G1109" s="9" t="s">
        <v>615</v>
      </c>
      <c r="H1109" s="15">
        <v>5.0</v>
      </c>
    </row>
    <row r="1110" spans="8:8" ht="23.85" hidden="1">
      <c r="A1110" s="2">
        <v>1908.0</v>
      </c>
      <c r="B1110" s="3" t="s">
        <v>474</v>
      </c>
      <c r="C1110" s="3" t="s">
        <v>9</v>
      </c>
      <c r="D1110" s="4" t="s">
        <v>14</v>
      </c>
      <c r="E1110" s="4" t="s">
        <v>15</v>
      </c>
      <c r="F1110" s="4" t="s">
        <v>16</v>
      </c>
      <c r="G1110" s="5" t="s">
        <v>17</v>
      </c>
      <c r="H1110" s="6">
        <v>0.0</v>
      </c>
    </row>
    <row r="1111" spans="8:8" ht="23.85" hidden="1">
      <c r="A1111" s="2">
        <v>1909.0</v>
      </c>
      <c r="B1111" s="3" t="s">
        <v>474</v>
      </c>
      <c r="C1111" s="3" t="s">
        <v>9</v>
      </c>
      <c r="D1111" s="4" t="s">
        <v>14</v>
      </c>
      <c r="E1111" s="4" t="s">
        <v>15</v>
      </c>
      <c r="F1111" s="4" t="s">
        <v>16</v>
      </c>
      <c r="G1111" s="5" t="s">
        <v>17</v>
      </c>
      <c r="H1111" s="6">
        <v>0.0</v>
      </c>
    </row>
    <row r="1112" spans="8:8" ht="23.85" hidden="1">
      <c r="A1112" s="2">
        <v>1910.0</v>
      </c>
      <c r="B1112" s="3" t="s">
        <v>474</v>
      </c>
      <c r="C1112" s="3" t="s">
        <v>9</v>
      </c>
      <c r="D1112" s="4" t="s">
        <v>14</v>
      </c>
      <c r="E1112" s="4" t="s">
        <v>15</v>
      </c>
      <c r="F1112" s="4" t="s">
        <v>16</v>
      </c>
      <c r="G1112" s="5" t="s">
        <v>17</v>
      </c>
      <c r="H1112" s="6">
        <v>0.0</v>
      </c>
    </row>
    <row r="1113" spans="8:8" ht="23.85" hidden="1">
      <c r="A1113" s="2">
        <v>1911.0</v>
      </c>
      <c r="B1113" s="3" t="s">
        <v>474</v>
      </c>
      <c r="C1113" s="3" t="s">
        <v>9</v>
      </c>
      <c r="D1113" s="4" t="s">
        <v>14</v>
      </c>
      <c r="E1113" s="4" t="s">
        <v>15</v>
      </c>
      <c r="F1113" s="4" t="s">
        <v>16</v>
      </c>
      <c r="G1113" s="5" t="s">
        <v>17</v>
      </c>
      <c r="H1113" s="6">
        <v>0.0</v>
      </c>
    </row>
    <row r="1114" spans="8:8" ht="15.0">
      <c r="A1114" s="2">
        <v>1912.0</v>
      </c>
      <c r="B1114" s="7" t="s">
        <v>474</v>
      </c>
      <c r="C1114" s="7" t="s">
        <v>18</v>
      </c>
      <c r="D1114" s="8" t="s">
        <v>616</v>
      </c>
      <c r="E1114" s="8" t="s">
        <v>617</v>
      </c>
      <c r="F1114" s="8" t="s">
        <v>497</v>
      </c>
      <c r="G1114" s="9" t="s">
        <v>618</v>
      </c>
      <c r="H1114" s="11">
        <v>2.0</v>
      </c>
    </row>
    <row r="1115" spans="8:8" ht="23.85" hidden="1">
      <c r="A1115" s="2">
        <v>1913.0</v>
      </c>
      <c r="B1115" s="3" t="s">
        <v>474</v>
      </c>
      <c r="C1115" s="3" t="s">
        <v>9</v>
      </c>
      <c r="D1115" s="4" t="s">
        <v>14</v>
      </c>
      <c r="E1115" s="4" t="s">
        <v>15</v>
      </c>
      <c r="F1115" s="4" t="s">
        <v>16</v>
      </c>
      <c r="G1115" s="5" t="s">
        <v>17</v>
      </c>
      <c r="H1115" s="6">
        <v>0.0</v>
      </c>
    </row>
    <row r="1116" spans="8:8" ht="23.85">
      <c r="A1116" s="2">
        <v>1914.0</v>
      </c>
      <c r="B1116" s="7" t="s">
        <v>619</v>
      </c>
      <c r="C1116" s="12" t="s">
        <v>18</v>
      </c>
      <c r="D1116" s="8" t="s">
        <v>620</v>
      </c>
      <c r="E1116" s="8" t="s">
        <v>621</v>
      </c>
      <c r="F1116" s="8" t="s">
        <v>622</v>
      </c>
      <c r="G1116" s="9" t="s">
        <v>623</v>
      </c>
      <c r="H1116" s="13">
        <v>4.0</v>
      </c>
    </row>
    <row r="1117" spans="8:8" ht="23.85" hidden="1">
      <c r="A1117" s="2">
        <v>1915.0</v>
      </c>
      <c r="B1117" s="3" t="s">
        <v>619</v>
      </c>
      <c r="C1117" s="3" t="s">
        <v>9</v>
      </c>
      <c r="D1117" s="4" t="s">
        <v>14</v>
      </c>
      <c r="E1117" s="4" t="s">
        <v>15</v>
      </c>
      <c r="F1117" s="4" t="s">
        <v>16</v>
      </c>
      <c r="G1117" s="5" t="s">
        <v>17</v>
      </c>
      <c r="H1117" s="6">
        <v>0.0</v>
      </c>
    </row>
    <row r="1118" spans="8:8" ht="23.85" hidden="1">
      <c r="A1118" s="2">
        <v>1916.0</v>
      </c>
      <c r="B1118" s="3" t="s">
        <v>619</v>
      </c>
      <c r="C1118" s="3" t="s">
        <v>9</v>
      </c>
      <c r="D1118" s="4" t="s">
        <v>14</v>
      </c>
      <c r="E1118" s="4" t="s">
        <v>15</v>
      </c>
      <c r="F1118" s="4" t="s">
        <v>16</v>
      </c>
      <c r="G1118" s="5" t="s">
        <v>17</v>
      </c>
      <c r="H1118" s="6">
        <v>0.0</v>
      </c>
    </row>
    <row r="1119" spans="8:8" ht="23.85" hidden="1">
      <c r="A1119" s="2">
        <v>1917.0</v>
      </c>
      <c r="B1119" s="3" t="s">
        <v>619</v>
      </c>
      <c r="C1119" s="3" t="s">
        <v>9</v>
      </c>
      <c r="D1119" s="4" t="s">
        <v>14</v>
      </c>
      <c r="E1119" s="4" t="s">
        <v>15</v>
      </c>
      <c r="F1119" s="4" t="s">
        <v>16</v>
      </c>
      <c r="G1119" s="5" t="s">
        <v>17</v>
      </c>
      <c r="H1119" s="6">
        <v>0.0</v>
      </c>
    </row>
    <row r="1120" spans="8:8" ht="15.0">
      <c r="A1120" s="2">
        <v>1918.0</v>
      </c>
      <c r="B1120" s="7" t="s">
        <v>619</v>
      </c>
      <c r="C1120" s="7" t="s">
        <v>18</v>
      </c>
      <c r="D1120" s="8" t="s">
        <v>624</v>
      </c>
      <c r="E1120" s="8" t="s">
        <v>60</v>
      </c>
      <c r="F1120" s="8" t="s">
        <v>625</v>
      </c>
      <c r="G1120" s="9" t="s">
        <v>626</v>
      </c>
      <c r="H1120" s="10">
        <v>3.0</v>
      </c>
    </row>
    <row r="1121" spans="8:8" ht="23.85" hidden="1">
      <c r="A1121" s="2">
        <v>1919.0</v>
      </c>
      <c r="B1121" s="3" t="s">
        <v>619</v>
      </c>
      <c r="C1121" s="3" t="s">
        <v>9</v>
      </c>
      <c r="D1121" s="4" t="s">
        <v>14</v>
      </c>
      <c r="E1121" s="4" t="s">
        <v>15</v>
      </c>
      <c r="F1121" s="4" t="s">
        <v>16</v>
      </c>
      <c r="G1121" s="5" t="s">
        <v>17</v>
      </c>
      <c r="H1121" s="6">
        <v>0.0</v>
      </c>
    </row>
    <row r="1122" spans="8:8" ht="23.85">
      <c r="A1122" s="2">
        <v>1920.0</v>
      </c>
      <c r="B1122" s="7" t="s">
        <v>619</v>
      </c>
      <c r="C1122" s="7" t="s">
        <v>18</v>
      </c>
      <c r="D1122" s="8" t="s">
        <v>627</v>
      </c>
      <c r="E1122" s="8" t="s">
        <v>628</v>
      </c>
      <c r="F1122" s="8" t="s">
        <v>497</v>
      </c>
      <c r="G1122" s="9" t="s">
        <v>629</v>
      </c>
      <c r="H1122" s="10">
        <v>3.0</v>
      </c>
    </row>
    <row r="1123" spans="8:8" ht="15.0">
      <c r="A1123" s="2">
        <v>1921.0</v>
      </c>
      <c r="B1123" s="7" t="s">
        <v>619</v>
      </c>
      <c r="C1123" s="7" t="s">
        <v>18</v>
      </c>
      <c r="D1123" s="8" t="s">
        <v>630</v>
      </c>
      <c r="E1123" s="8" t="s">
        <v>631</v>
      </c>
      <c r="F1123" s="8" t="s">
        <v>632</v>
      </c>
      <c r="G1123" s="9" t="s">
        <v>633</v>
      </c>
      <c r="H1123" s="10">
        <v>3.0</v>
      </c>
    </row>
    <row r="1124" spans="8:8" ht="15.0">
      <c r="A1124" s="2">
        <v>1922.0</v>
      </c>
      <c r="B1124" s="7" t="s">
        <v>619</v>
      </c>
      <c r="C1124" s="7" t="s">
        <v>18</v>
      </c>
      <c r="D1124" s="8" t="s">
        <v>634</v>
      </c>
      <c r="E1124" s="8" t="s">
        <v>635</v>
      </c>
      <c r="F1124" s="8" t="s">
        <v>497</v>
      </c>
      <c r="G1124" s="9" t="s">
        <v>636</v>
      </c>
      <c r="H1124" s="11">
        <v>2.0</v>
      </c>
    </row>
    <row r="1125" spans="8:8" ht="15.0">
      <c r="A1125" s="2">
        <v>1923.0</v>
      </c>
      <c r="B1125" s="7" t="s">
        <v>619</v>
      </c>
      <c r="C1125" s="12" t="s">
        <v>18</v>
      </c>
      <c r="D1125" s="8" t="s">
        <v>637</v>
      </c>
      <c r="E1125" s="8" t="s">
        <v>181</v>
      </c>
      <c r="F1125" s="8" t="s">
        <v>638</v>
      </c>
      <c r="G1125" s="9" t="s">
        <v>639</v>
      </c>
      <c r="H1125" s="13">
        <v>4.0</v>
      </c>
    </row>
    <row r="1126" spans="8:8" ht="23.85" hidden="1">
      <c r="A1126" s="2">
        <v>1924.0</v>
      </c>
      <c r="B1126" s="3" t="s">
        <v>619</v>
      </c>
      <c r="C1126" s="3" t="s">
        <v>9</v>
      </c>
      <c r="D1126" s="4" t="s">
        <v>14</v>
      </c>
      <c r="E1126" s="4" t="s">
        <v>15</v>
      </c>
      <c r="F1126" s="4" t="s">
        <v>16</v>
      </c>
      <c r="G1126" s="5" t="s">
        <v>17</v>
      </c>
      <c r="H1126" s="6">
        <v>0.0</v>
      </c>
    </row>
    <row r="1127" spans="8:8" ht="15.0">
      <c r="A1127" s="2">
        <v>1925.0</v>
      </c>
      <c r="B1127" s="7" t="s">
        <v>619</v>
      </c>
      <c r="C1127" s="7" t="s">
        <v>18</v>
      </c>
      <c r="D1127" s="8" t="s">
        <v>640</v>
      </c>
      <c r="E1127" s="8" t="s">
        <v>451</v>
      </c>
      <c r="F1127" s="8" t="s">
        <v>497</v>
      </c>
      <c r="G1127" s="9" t="s">
        <v>641</v>
      </c>
      <c r="H1127" s="10">
        <v>3.0</v>
      </c>
    </row>
    <row r="1128" spans="8:8" ht="15.0">
      <c r="A1128" s="2">
        <v>1926.0</v>
      </c>
      <c r="B1128" s="7" t="s">
        <v>619</v>
      </c>
      <c r="C1128" s="7" t="s">
        <v>18</v>
      </c>
      <c r="D1128" s="8" t="s">
        <v>642</v>
      </c>
      <c r="E1128" s="8" t="s">
        <v>454</v>
      </c>
      <c r="F1128" s="8" t="s">
        <v>497</v>
      </c>
      <c r="G1128" s="9" t="s">
        <v>643</v>
      </c>
      <c r="H1128" s="10">
        <v>3.0</v>
      </c>
    </row>
    <row r="1129" spans="8:8" ht="23.85" hidden="1">
      <c r="A1129" s="2">
        <v>1927.0</v>
      </c>
      <c r="B1129" s="3" t="s">
        <v>619</v>
      </c>
      <c r="C1129" s="3" t="s">
        <v>9</v>
      </c>
      <c r="D1129" s="4" t="s">
        <v>14</v>
      </c>
      <c r="E1129" s="4" t="s">
        <v>15</v>
      </c>
      <c r="F1129" s="4" t="s">
        <v>16</v>
      </c>
      <c r="G1129" s="5" t="s">
        <v>17</v>
      </c>
      <c r="H1129" s="6">
        <v>0.0</v>
      </c>
    </row>
    <row r="1130" spans="8:8" ht="15.0">
      <c r="A1130" s="2">
        <v>1928.0</v>
      </c>
      <c r="B1130" s="7" t="s">
        <v>619</v>
      </c>
      <c r="C1130" s="7" t="s">
        <v>18</v>
      </c>
      <c r="D1130" s="8" t="s">
        <v>644</v>
      </c>
      <c r="E1130" s="8" t="s">
        <v>451</v>
      </c>
      <c r="F1130" s="8" t="s">
        <v>497</v>
      </c>
      <c r="G1130" s="9" t="s">
        <v>645</v>
      </c>
      <c r="H1130" s="10">
        <v>3.0</v>
      </c>
    </row>
    <row r="1131" spans="8:8" ht="23.85">
      <c r="A1131" s="2">
        <v>1929.0</v>
      </c>
      <c r="B1131" s="7" t="s">
        <v>619</v>
      </c>
      <c r="C1131" s="12" t="s">
        <v>18</v>
      </c>
      <c r="D1131" s="8" t="s">
        <v>646</v>
      </c>
      <c r="E1131" s="8" t="s">
        <v>647</v>
      </c>
      <c r="F1131" s="8" t="s">
        <v>504</v>
      </c>
      <c r="G1131" s="9" t="s">
        <v>648</v>
      </c>
      <c r="H1131" s="15">
        <v>5.0</v>
      </c>
    </row>
    <row r="1132" spans="8:8" ht="15.0">
      <c r="A1132" s="2">
        <v>1930.0</v>
      </c>
      <c r="B1132" s="7" t="s">
        <v>619</v>
      </c>
      <c r="C1132" s="12" t="s">
        <v>18</v>
      </c>
      <c r="D1132" s="8" t="s">
        <v>649</v>
      </c>
      <c r="E1132" s="8" t="s">
        <v>285</v>
      </c>
      <c r="F1132" s="8" t="s">
        <v>497</v>
      </c>
      <c r="G1132" s="9" t="s">
        <v>650</v>
      </c>
      <c r="H1132" s="13">
        <v>4.0</v>
      </c>
    </row>
    <row r="1133" spans="8:8" ht="23.85">
      <c r="A1133" s="2">
        <v>1931.0</v>
      </c>
      <c r="B1133" s="7" t="s">
        <v>619</v>
      </c>
      <c r="C1133" s="12" t="s">
        <v>18</v>
      </c>
      <c r="D1133" s="8" t="s">
        <v>651</v>
      </c>
      <c r="E1133" s="8" t="s">
        <v>285</v>
      </c>
      <c r="F1133" s="8" t="s">
        <v>652</v>
      </c>
      <c r="G1133" s="9" t="s">
        <v>653</v>
      </c>
      <c r="H1133" s="15">
        <v>5.0</v>
      </c>
    </row>
    <row r="1134" spans="8:8" ht="23.85">
      <c r="A1134" s="2">
        <v>1932.0</v>
      </c>
      <c r="B1134" s="7" t="s">
        <v>619</v>
      </c>
      <c r="C1134" s="12" t="s">
        <v>18</v>
      </c>
      <c r="D1134" s="8" t="s">
        <v>654</v>
      </c>
      <c r="E1134" s="8" t="s">
        <v>655</v>
      </c>
      <c r="F1134" s="8" t="s">
        <v>656</v>
      </c>
      <c r="G1134" s="9" t="s">
        <v>657</v>
      </c>
      <c r="H1134" s="15">
        <v>5.0</v>
      </c>
    </row>
    <row r="1135" spans="8:8" ht="23.85">
      <c r="A1135" s="2">
        <v>1933.0</v>
      </c>
      <c r="B1135" s="7" t="s">
        <v>619</v>
      </c>
      <c r="C1135" s="12" t="s">
        <v>18</v>
      </c>
      <c r="D1135" s="8" t="s">
        <v>658</v>
      </c>
      <c r="E1135" s="8" t="s">
        <v>125</v>
      </c>
      <c r="F1135" s="8" t="s">
        <v>497</v>
      </c>
      <c r="G1135" s="9" t="s">
        <v>659</v>
      </c>
      <c r="H1135" s="13">
        <v>4.0</v>
      </c>
    </row>
    <row r="1136" spans="8:8" ht="23.85" hidden="1">
      <c r="A1136" s="2">
        <v>1934.0</v>
      </c>
      <c r="B1136" s="3" t="s">
        <v>619</v>
      </c>
      <c r="C1136" s="3" t="s">
        <v>9</v>
      </c>
      <c r="D1136" s="4" t="s">
        <v>14</v>
      </c>
      <c r="E1136" s="4" t="s">
        <v>15</v>
      </c>
      <c r="F1136" s="4" t="s">
        <v>16</v>
      </c>
      <c r="G1136" s="5" t="s">
        <v>17</v>
      </c>
      <c r="H1136" s="6">
        <v>0.0</v>
      </c>
    </row>
    <row r="1137" spans="8:8" ht="23.85" hidden="1">
      <c r="A1137" s="2">
        <v>1935.0</v>
      </c>
      <c r="B1137" s="3" t="s">
        <v>619</v>
      </c>
      <c r="C1137" s="3" t="s">
        <v>9</v>
      </c>
      <c r="D1137" s="4" t="s">
        <v>14</v>
      </c>
      <c r="E1137" s="4" t="s">
        <v>15</v>
      </c>
      <c r="F1137" s="4" t="s">
        <v>16</v>
      </c>
      <c r="G1137" s="5" t="s">
        <v>17</v>
      </c>
      <c r="H1137" s="6">
        <v>0.0</v>
      </c>
    </row>
    <row r="1138" spans="8:8" ht="23.85" hidden="1">
      <c r="A1138" s="2">
        <v>1936.0</v>
      </c>
      <c r="B1138" s="3" t="s">
        <v>619</v>
      </c>
      <c r="C1138" s="3" t="s">
        <v>9</v>
      </c>
      <c r="D1138" s="4" t="s">
        <v>14</v>
      </c>
      <c r="E1138" s="4" t="s">
        <v>15</v>
      </c>
      <c r="F1138" s="4" t="s">
        <v>16</v>
      </c>
      <c r="G1138" s="5" t="s">
        <v>17</v>
      </c>
      <c r="H1138" s="6">
        <v>0.0</v>
      </c>
    </row>
    <row r="1139" spans="8:8" ht="15.0">
      <c r="A1139" s="2">
        <v>1937.0</v>
      </c>
      <c r="B1139" s="7" t="s">
        <v>619</v>
      </c>
      <c r="C1139" s="7" t="s">
        <v>18</v>
      </c>
      <c r="D1139" s="8" t="s">
        <v>660</v>
      </c>
      <c r="E1139" s="8" t="s">
        <v>661</v>
      </c>
      <c r="F1139" s="8" t="s">
        <v>497</v>
      </c>
      <c r="G1139" s="9" t="s">
        <v>662</v>
      </c>
      <c r="H1139" s="10">
        <v>3.0</v>
      </c>
    </row>
    <row r="1140" spans="8:8" ht="23.85">
      <c r="A1140" s="2">
        <v>1938.0</v>
      </c>
      <c r="B1140" s="7" t="s">
        <v>619</v>
      </c>
      <c r="C1140" s="7" t="s">
        <v>18</v>
      </c>
      <c r="D1140" s="8" t="s">
        <v>663</v>
      </c>
      <c r="E1140" s="8" t="s">
        <v>664</v>
      </c>
      <c r="F1140" s="8" t="s">
        <v>497</v>
      </c>
      <c r="G1140" s="9" t="s">
        <v>665</v>
      </c>
      <c r="H1140" s="10">
        <v>3.0</v>
      </c>
    </row>
    <row r="1141" spans="8:8" ht="15.0">
      <c r="A1141" s="2">
        <v>1939.0</v>
      </c>
      <c r="B1141" s="7" t="s">
        <v>619</v>
      </c>
      <c r="C1141" s="7" t="s">
        <v>18</v>
      </c>
      <c r="D1141" s="8" t="s">
        <v>666</v>
      </c>
      <c r="E1141" s="8" t="s">
        <v>621</v>
      </c>
      <c r="F1141" s="8" t="s">
        <v>622</v>
      </c>
      <c r="G1141" s="9" t="s">
        <v>667</v>
      </c>
      <c r="H1141" s="11">
        <v>2.0</v>
      </c>
    </row>
    <row r="1142" spans="8:8" ht="23.85" hidden="1">
      <c r="A1142" s="2">
        <v>1940.0</v>
      </c>
      <c r="B1142" s="3" t="s">
        <v>619</v>
      </c>
      <c r="C1142" s="3" t="s">
        <v>9</v>
      </c>
      <c r="D1142" s="4" t="s">
        <v>14</v>
      </c>
      <c r="E1142" s="4" t="s">
        <v>15</v>
      </c>
      <c r="F1142" s="4" t="s">
        <v>16</v>
      </c>
      <c r="G1142" s="5" t="s">
        <v>17</v>
      </c>
      <c r="H1142" s="6">
        <v>0.0</v>
      </c>
    </row>
    <row r="1143" spans="8:8" ht="23.85" hidden="1">
      <c r="A1143" s="2">
        <v>1941.0</v>
      </c>
      <c r="B1143" s="3" t="s">
        <v>619</v>
      </c>
      <c r="C1143" s="3" t="s">
        <v>9</v>
      </c>
      <c r="D1143" s="4" t="s">
        <v>14</v>
      </c>
      <c r="E1143" s="4" t="s">
        <v>15</v>
      </c>
      <c r="F1143" s="4" t="s">
        <v>16</v>
      </c>
      <c r="G1143" s="5" t="s">
        <v>17</v>
      </c>
      <c r="H1143" s="6">
        <v>0.0</v>
      </c>
    </row>
    <row r="1144" spans="8:8" ht="23.85" hidden="1">
      <c r="A1144" s="2">
        <v>1942.0</v>
      </c>
      <c r="B1144" s="3" t="s">
        <v>619</v>
      </c>
      <c r="C1144" s="3" t="s">
        <v>9</v>
      </c>
      <c r="D1144" s="4" t="s">
        <v>14</v>
      </c>
      <c r="E1144" s="4" t="s">
        <v>15</v>
      </c>
      <c r="F1144" s="4" t="s">
        <v>16</v>
      </c>
      <c r="G1144" s="5" t="s">
        <v>17</v>
      </c>
      <c r="H1144" s="6">
        <v>0.0</v>
      </c>
    </row>
    <row r="1145" spans="8:8" ht="23.85" hidden="1">
      <c r="A1145" s="2">
        <v>1943.0</v>
      </c>
      <c r="B1145" s="3" t="s">
        <v>619</v>
      </c>
      <c r="C1145" s="3" t="s">
        <v>9</v>
      </c>
      <c r="D1145" s="4" t="s">
        <v>14</v>
      </c>
      <c r="E1145" s="4" t="s">
        <v>15</v>
      </c>
      <c r="F1145" s="4" t="s">
        <v>16</v>
      </c>
      <c r="G1145" s="5" t="s">
        <v>17</v>
      </c>
      <c r="H1145" s="6">
        <v>0.0</v>
      </c>
    </row>
    <row r="1146" spans="8:8" ht="23.85" hidden="1">
      <c r="A1146" s="2">
        <v>1944.0</v>
      </c>
      <c r="B1146" s="3" t="s">
        <v>619</v>
      </c>
      <c r="C1146" s="3" t="s">
        <v>9</v>
      </c>
      <c r="D1146" s="4" t="s">
        <v>14</v>
      </c>
      <c r="E1146" s="4" t="s">
        <v>15</v>
      </c>
      <c r="F1146" s="4" t="s">
        <v>16</v>
      </c>
      <c r="G1146" s="5" t="s">
        <v>17</v>
      </c>
      <c r="H1146" s="6">
        <v>0.0</v>
      </c>
    </row>
    <row r="1147" spans="8:8" ht="23.85" hidden="1">
      <c r="A1147" s="2">
        <v>1945.0</v>
      </c>
      <c r="B1147" s="3" t="s">
        <v>619</v>
      </c>
      <c r="C1147" s="3" t="s">
        <v>9</v>
      </c>
      <c r="D1147" s="4" t="s">
        <v>14</v>
      </c>
      <c r="E1147" s="4" t="s">
        <v>15</v>
      </c>
      <c r="F1147" s="4" t="s">
        <v>16</v>
      </c>
      <c r="G1147" s="5" t="s">
        <v>17</v>
      </c>
      <c r="H1147" s="6">
        <v>0.0</v>
      </c>
    </row>
    <row r="1148" spans="8:8" ht="15.0">
      <c r="A1148" s="2">
        <v>1946.0</v>
      </c>
      <c r="B1148" s="7" t="s">
        <v>619</v>
      </c>
      <c r="C1148" s="12" t="s">
        <v>18</v>
      </c>
      <c r="D1148" s="8" t="s">
        <v>668</v>
      </c>
      <c r="E1148" s="8" t="s">
        <v>181</v>
      </c>
      <c r="F1148" s="8" t="s">
        <v>669</v>
      </c>
      <c r="G1148" s="9" t="s">
        <v>670</v>
      </c>
      <c r="H1148" s="13">
        <v>4.0</v>
      </c>
    </row>
    <row r="1149" spans="8:8" ht="23.85" hidden="1">
      <c r="A1149" s="2">
        <v>1947.0</v>
      </c>
      <c r="B1149" s="3" t="s">
        <v>619</v>
      </c>
      <c r="C1149" s="3" t="s">
        <v>9</v>
      </c>
      <c r="D1149" s="4" t="s">
        <v>14</v>
      </c>
      <c r="E1149" s="4" t="s">
        <v>15</v>
      </c>
      <c r="F1149" s="4" t="s">
        <v>16</v>
      </c>
      <c r="G1149" s="5" t="s">
        <v>17</v>
      </c>
      <c r="H1149" s="6">
        <v>0.0</v>
      </c>
    </row>
    <row r="1150" spans="8:8" ht="15.0">
      <c r="A1150" s="2">
        <v>1948.0</v>
      </c>
      <c r="B1150" s="7" t="s">
        <v>619</v>
      </c>
      <c r="C1150" s="12" t="s">
        <v>18</v>
      </c>
      <c r="D1150" s="8" t="s">
        <v>671</v>
      </c>
      <c r="E1150" s="8" t="s">
        <v>181</v>
      </c>
      <c r="F1150" s="8" t="s">
        <v>21</v>
      </c>
      <c r="G1150" s="9" t="s">
        <v>672</v>
      </c>
      <c r="H1150" s="13">
        <v>4.0</v>
      </c>
    </row>
    <row r="1151" spans="8:8" ht="23.85" hidden="1">
      <c r="A1151" s="2">
        <v>1949.0</v>
      </c>
      <c r="B1151" s="3" t="s">
        <v>619</v>
      </c>
      <c r="C1151" s="3" t="s">
        <v>9</v>
      </c>
      <c r="D1151" s="4" t="s">
        <v>14</v>
      </c>
      <c r="E1151" s="4" t="s">
        <v>15</v>
      </c>
      <c r="F1151" s="4" t="s">
        <v>16</v>
      </c>
      <c r="G1151" s="5" t="s">
        <v>17</v>
      </c>
      <c r="H1151" s="6">
        <v>0.0</v>
      </c>
    </row>
    <row r="1152" spans="8:8" ht="23.85" hidden="1">
      <c r="A1152" s="2">
        <v>1950.0</v>
      </c>
      <c r="B1152" s="3" t="s">
        <v>619</v>
      </c>
      <c r="C1152" s="3" t="s">
        <v>9</v>
      </c>
      <c r="D1152" s="4" t="s">
        <v>14</v>
      </c>
      <c r="E1152" s="4" t="s">
        <v>15</v>
      </c>
      <c r="F1152" s="4" t="s">
        <v>16</v>
      </c>
      <c r="G1152" s="5" t="s">
        <v>17</v>
      </c>
      <c r="H1152" s="6">
        <v>0.0</v>
      </c>
    </row>
    <row r="1153" spans="8:8" ht="23.85" hidden="1">
      <c r="A1153" s="2">
        <v>1951.0</v>
      </c>
      <c r="B1153" s="3" t="s">
        <v>619</v>
      </c>
      <c r="C1153" s="3" t="s">
        <v>9</v>
      </c>
      <c r="D1153" s="4" t="s">
        <v>14</v>
      </c>
      <c r="E1153" s="4" t="s">
        <v>15</v>
      </c>
      <c r="F1153" s="4" t="s">
        <v>16</v>
      </c>
      <c r="G1153" s="5" t="s">
        <v>17</v>
      </c>
      <c r="H1153" s="6">
        <v>0.0</v>
      </c>
    </row>
    <row r="1154" spans="8:8" ht="23.85" hidden="1">
      <c r="A1154" s="2">
        <v>1952.0</v>
      </c>
      <c r="B1154" s="3" t="s">
        <v>619</v>
      </c>
      <c r="C1154" s="3" t="s">
        <v>9</v>
      </c>
      <c r="D1154" s="4" t="s">
        <v>14</v>
      </c>
      <c r="E1154" s="4" t="s">
        <v>15</v>
      </c>
      <c r="F1154" s="4" t="s">
        <v>16</v>
      </c>
      <c r="G1154" s="5" t="s">
        <v>17</v>
      </c>
      <c r="H1154" s="6">
        <v>0.0</v>
      </c>
    </row>
    <row r="1155" spans="8:8" ht="23.85" hidden="1">
      <c r="A1155" s="2">
        <v>1953.0</v>
      </c>
      <c r="B1155" s="3" t="s">
        <v>619</v>
      </c>
      <c r="C1155" s="3" t="s">
        <v>9</v>
      </c>
      <c r="D1155" s="4" t="s">
        <v>14</v>
      </c>
      <c r="E1155" s="4" t="s">
        <v>15</v>
      </c>
      <c r="F1155" s="4" t="s">
        <v>16</v>
      </c>
      <c r="G1155" s="5" t="s">
        <v>17</v>
      </c>
      <c r="H1155" s="6">
        <v>0.0</v>
      </c>
    </row>
    <row r="1156" spans="8:8" ht="23.85" hidden="1">
      <c r="A1156" s="2">
        <v>1954.0</v>
      </c>
      <c r="B1156" s="3" t="s">
        <v>619</v>
      </c>
      <c r="C1156" s="3" t="s">
        <v>9</v>
      </c>
      <c r="D1156" s="4" t="s">
        <v>14</v>
      </c>
      <c r="E1156" s="4" t="s">
        <v>15</v>
      </c>
      <c r="F1156" s="4" t="s">
        <v>16</v>
      </c>
      <c r="G1156" s="5" t="s">
        <v>17</v>
      </c>
      <c r="H1156" s="6">
        <v>0.0</v>
      </c>
    </row>
    <row r="1157" spans="8:8" ht="23.85" hidden="1">
      <c r="A1157" s="2">
        <v>1955.0</v>
      </c>
      <c r="B1157" s="3" t="s">
        <v>619</v>
      </c>
      <c r="C1157" s="3" t="s">
        <v>9</v>
      </c>
      <c r="D1157" s="4" t="s">
        <v>14</v>
      </c>
      <c r="E1157" s="4" t="s">
        <v>15</v>
      </c>
      <c r="F1157" s="4" t="s">
        <v>16</v>
      </c>
      <c r="G1157" s="5" t="s">
        <v>17</v>
      </c>
      <c r="H1157" s="6">
        <v>0.0</v>
      </c>
    </row>
    <row r="1158" spans="8:8" ht="23.85" hidden="1">
      <c r="A1158" s="2">
        <v>1956.0</v>
      </c>
      <c r="B1158" s="3" t="s">
        <v>619</v>
      </c>
      <c r="C1158" s="3" t="s">
        <v>9</v>
      </c>
      <c r="D1158" s="4" t="s">
        <v>14</v>
      </c>
      <c r="E1158" s="4" t="s">
        <v>15</v>
      </c>
      <c r="F1158" s="4" t="s">
        <v>16</v>
      </c>
      <c r="G1158" s="5" t="s">
        <v>17</v>
      </c>
      <c r="H1158" s="6">
        <v>0.0</v>
      </c>
    </row>
    <row r="1159" spans="8:8" ht="23.85" hidden="1">
      <c r="A1159" s="2">
        <v>1957.0</v>
      </c>
      <c r="B1159" s="3" t="s">
        <v>619</v>
      </c>
      <c r="C1159" s="3" t="s">
        <v>9</v>
      </c>
      <c r="D1159" s="4" t="s">
        <v>14</v>
      </c>
      <c r="E1159" s="4" t="s">
        <v>15</v>
      </c>
      <c r="F1159" s="4" t="s">
        <v>16</v>
      </c>
      <c r="G1159" s="5" t="s">
        <v>17</v>
      </c>
      <c r="H1159" s="6">
        <v>0.0</v>
      </c>
    </row>
    <row r="1160" spans="8:8" ht="23.85" hidden="1">
      <c r="A1160" s="2">
        <v>1958.0</v>
      </c>
      <c r="B1160" s="3" t="s">
        <v>619</v>
      </c>
      <c r="C1160" s="3" t="s">
        <v>9</v>
      </c>
      <c r="D1160" s="4" t="s">
        <v>14</v>
      </c>
      <c r="E1160" s="4" t="s">
        <v>15</v>
      </c>
      <c r="F1160" s="4" t="s">
        <v>16</v>
      </c>
      <c r="G1160" s="5" t="s">
        <v>17</v>
      </c>
      <c r="H1160" s="6">
        <v>0.0</v>
      </c>
    </row>
    <row r="1161" spans="8:8" ht="23.85" hidden="1">
      <c r="A1161" s="2">
        <v>1959.0</v>
      </c>
      <c r="B1161" s="3" t="s">
        <v>619</v>
      </c>
      <c r="C1161" s="3" t="s">
        <v>9</v>
      </c>
      <c r="D1161" s="4" t="s">
        <v>14</v>
      </c>
      <c r="E1161" s="4" t="s">
        <v>15</v>
      </c>
      <c r="F1161" s="4" t="s">
        <v>16</v>
      </c>
      <c r="G1161" s="5" t="s">
        <v>17</v>
      </c>
      <c r="H1161" s="6">
        <v>0.0</v>
      </c>
    </row>
    <row r="1162" spans="8:8" ht="23.85" hidden="1">
      <c r="A1162" s="2">
        <v>1960.0</v>
      </c>
      <c r="B1162" s="3" t="s">
        <v>619</v>
      </c>
      <c r="C1162" s="3" t="s">
        <v>9</v>
      </c>
      <c r="D1162" s="4" t="s">
        <v>14</v>
      </c>
      <c r="E1162" s="4" t="s">
        <v>15</v>
      </c>
      <c r="F1162" s="4" t="s">
        <v>16</v>
      </c>
      <c r="G1162" s="5" t="s">
        <v>17</v>
      </c>
      <c r="H1162" s="6">
        <v>0.0</v>
      </c>
    </row>
    <row r="1163" spans="8:8" ht="23.85" hidden="1">
      <c r="A1163" s="2">
        <v>1961.0</v>
      </c>
      <c r="B1163" s="3" t="s">
        <v>619</v>
      </c>
      <c r="C1163" s="3" t="s">
        <v>9</v>
      </c>
      <c r="D1163" s="4" t="s">
        <v>14</v>
      </c>
      <c r="E1163" s="4" t="s">
        <v>15</v>
      </c>
      <c r="F1163" s="4" t="s">
        <v>16</v>
      </c>
      <c r="G1163" s="5" t="s">
        <v>17</v>
      </c>
      <c r="H1163" s="6">
        <v>0.0</v>
      </c>
    </row>
    <row r="1164" spans="8:8" ht="15.0">
      <c r="A1164" s="2">
        <v>1962.0</v>
      </c>
      <c r="B1164" s="7" t="s">
        <v>619</v>
      </c>
      <c r="C1164" s="7" t="s">
        <v>18</v>
      </c>
      <c r="D1164" s="8" t="s">
        <v>673</v>
      </c>
      <c r="E1164" s="8" t="s">
        <v>661</v>
      </c>
      <c r="F1164" s="8" t="s">
        <v>497</v>
      </c>
      <c r="G1164" s="9" t="s">
        <v>674</v>
      </c>
      <c r="H1164" s="10">
        <v>3.0</v>
      </c>
    </row>
    <row r="1165" spans="8:8" ht="23.85">
      <c r="A1165" s="2">
        <v>1963.0</v>
      </c>
      <c r="B1165" s="7" t="s">
        <v>619</v>
      </c>
      <c r="C1165" s="7" t="s">
        <v>18</v>
      </c>
      <c r="D1165" s="8" t="s">
        <v>675</v>
      </c>
      <c r="E1165" s="8" t="s">
        <v>676</v>
      </c>
      <c r="F1165" s="8" t="s">
        <v>497</v>
      </c>
      <c r="G1165" s="9" t="s">
        <v>677</v>
      </c>
      <c r="H1165" s="10">
        <v>3.0</v>
      </c>
    </row>
    <row r="1166" spans="8:8" ht="23.85" hidden="1">
      <c r="A1166" s="2">
        <v>1964.0</v>
      </c>
      <c r="B1166" s="3" t="s">
        <v>619</v>
      </c>
      <c r="C1166" s="3" t="s">
        <v>9</v>
      </c>
      <c r="D1166" s="4" t="s">
        <v>14</v>
      </c>
      <c r="E1166" s="4" t="s">
        <v>15</v>
      </c>
      <c r="F1166" s="4" t="s">
        <v>16</v>
      </c>
      <c r="G1166" s="5" t="s">
        <v>17</v>
      </c>
      <c r="H1166" s="6">
        <v>0.0</v>
      </c>
    </row>
    <row r="1167" spans="8:8" ht="23.85" hidden="1">
      <c r="A1167" s="2">
        <v>1965.0</v>
      </c>
      <c r="B1167" s="3" t="s">
        <v>619</v>
      </c>
      <c r="C1167" s="3" t="s">
        <v>9</v>
      </c>
      <c r="D1167" s="4" t="s">
        <v>14</v>
      </c>
      <c r="E1167" s="4" t="s">
        <v>15</v>
      </c>
      <c r="F1167" s="4" t="s">
        <v>16</v>
      </c>
      <c r="G1167" s="5" t="s">
        <v>17</v>
      </c>
      <c r="H1167" s="6">
        <v>0.0</v>
      </c>
    </row>
    <row r="1168" spans="8:8" ht="15.0">
      <c r="A1168" s="2">
        <v>1966.0</v>
      </c>
      <c r="B1168" s="7" t="s">
        <v>619</v>
      </c>
      <c r="C1168" s="7" t="s">
        <v>18</v>
      </c>
      <c r="D1168" s="8" t="s">
        <v>678</v>
      </c>
      <c r="E1168" s="8" t="s">
        <v>268</v>
      </c>
      <c r="F1168" s="8" t="s">
        <v>497</v>
      </c>
      <c r="G1168" s="9" t="s">
        <v>679</v>
      </c>
      <c r="H1168" s="11">
        <v>2.0</v>
      </c>
    </row>
    <row r="1169" spans="8:8" ht="15.0">
      <c r="A1169" s="2">
        <v>1967.0</v>
      </c>
      <c r="B1169" s="7" t="s">
        <v>619</v>
      </c>
      <c r="C1169" s="7" t="s">
        <v>18</v>
      </c>
      <c r="D1169" s="8" t="s">
        <v>680</v>
      </c>
      <c r="E1169" s="8" t="s">
        <v>392</v>
      </c>
      <c r="F1169" s="8" t="s">
        <v>477</v>
      </c>
      <c r="G1169" s="9" t="s">
        <v>681</v>
      </c>
      <c r="H1169" s="11">
        <v>2.0</v>
      </c>
    </row>
    <row r="1170" spans="8:8" ht="15.0">
      <c r="A1170" s="2">
        <v>1968.0</v>
      </c>
      <c r="B1170" s="7" t="s">
        <v>619</v>
      </c>
      <c r="C1170" s="7" t="s">
        <v>18</v>
      </c>
      <c r="D1170" s="8" t="s">
        <v>682</v>
      </c>
      <c r="E1170" s="8" t="s">
        <v>683</v>
      </c>
      <c r="F1170" s="8" t="s">
        <v>497</v>
      </c>
      <c r="G1170" s="9" t="s">
        <v>684</v>
      </c>
      <c r="H1170" s="11">
        <v>2.0</v>
      </c>
    </row>
    <row r="1171" spans="8:8" ht="23.85" hidden="1">
      <c r="A1171" s="2">
        <v>1969.0</v>
      </c>
      <c r="B1171" s="3" t="s">
        <v>619</v>
      </c>
      <c r="C1171" s="3" t="s">
        <v>9</v>
      </c>
      <c r="D1171" s="4" t="s">
        <v>14</v>
      </c>
      <c r="E1171" s="4" t="s">
        <v>15</v>
      </c>
      <c r="F1171" s="4" t="s">
        <v>16</v>
      </c>
      <c r="G1171" s="5" t="s">
        <v>17</v>
      </c>
      <c r="H1171" s="6">
        <v>0.0</v>
      </c>
    </row>
    <row r="1172" spans="8:8" ht="23.85">
      <c r="A1172" s="2">
        <v>1970.0</v>
      </c>
      <c r="B1172" s="7" t="s">
        <v>619</v>
      </c>
      <c r="C1172" s="12" t="s">
        <v>18</v>
      </c>
      <c r="D1172" s="8" t="s">
        <v>685</v>
      </c>
      <c r="E1172" s="8" t="s">
        <v>686</v>
      </c>
      <c r="F1172" s="8" t="s">
        <v>687</v>
      </c>
      <c r="G1172" s="9" t="s">
        <v>688</v>
      </c>
      <c r="H1172" s="13">
        <v>4.0</v>
      </c>
    </row>
    <row r="1173" spans="8:8" ht="15.0">
      <c r="A1173" s="2">
        <v>1971.0</v>
      </c>
      <c r="B1173" s="7" t="s">
        <v>619</v>
      </c>
      <c r="C1173" s="12" t="s">
        <v>18</v>
      </c>
      <c r="D1173" s="8" t="s">
        <v>689</v>
      </c>
      <c r="E1173" s="8" t="s">
        <v>334</v>
      </c>
      <c r="F1173" s="8" t="s">
        <v>622</v>
      </c>
      <c r="G1173" s="9" t="s">
        <v>690</v>
      </c>
      <c r="H1173" s="13">
        <v>4.0</v>
      </c>
    </row>
    <row r="1174" spans="8:8" ht="15.0">
      <c r="A1174" s="2">
        <v>1972.0</v>
      </c>
      <c r="B1174" s="7" t="s">
        <v>691</v>
      </c>
      <c r="C1174" s="7" t="s">
        <v>18</v>
      </c>
      <c r="D1174" s="8" t="s">
        <v>692</v>
      </c>
      <c r="E1174" s="8" t="s">
        <v>524</v>
      </c>
      <c r="F1174" s="8" t="s">
        <v>693</v>
      </c>
      <c r="G1174" s="9" t="s">
        <v>694</v>
      </c>
      <c r="H1174" s="11">
        <v>2.0</v>
      </c>
    </row>
    <row r="1175" spans="8:8" ht="23.85">
      <c r="A1175" s="2">
        <v>1973.0</v>
      </c>
      <c r="B1175" s="7" t="s">
        <v>691</v>
      </c>
      <c r="C1175" s="12" t="s">
        <v>18</v>
      </c>
      <c r="D1175" s="8" t="s">
        <v>695</v>
      </c>
      <c r="E1175" s="8" t="s">
        <v>556</v>
      </c>
      <c r="F1175" s="8" t="s">
        <v>504</v>
      </c>
      <c r="G1175" s="9" t="s">
        <v>696</v>
      </c>
      <c r="H1175" s="13">
        <v>4.0</v>
      </c>
    </row>
    <row r="1176" spans="8:8" ht="23.85">
      <c r="A1176" s="2">
        <v>1974.0</v>
      </c>
      <c r="B1176" s="7" t="s">
        <v>691</v>
      </c>
      <c r="C1176" s="12" t="s">
        <v>18</v>
      </c>
      <c r="D1176" s="8" t="s">
        <v>697</v>
      </c>
      <c r="E1176" s="8" t="s">
        <v>285</v>
      </c>
      <c r="F1176" s="8" t="s">
        <v>698</v>
      </c>
      <c r="G1176" s="9" t="s">
        <v>699</v>
      </c>
      <c r="H1176" s="15">
        <v>5.0</v>
      </c>
    </row>
    <row r="1177" spans="8:8" ht="15.0">
      <c r="A1177" s="2">
        <v>1975.0</v>
      </c>
      <c r="B1177" s="7" t="s">
        <v>691</v>
      </c>
      <c r="C1177" s="7" t="s">
        <v>18</v>
      </c>
      <c r="D1177" s="8" t="s">
        <v>700</v>
      </c>
      <c r="E1177" s="8" t="s">
        <v>701</v>
      </c>
      <c r="F1177" s="8" t="s">
        <v>497</v>
      </c>
      <c r="G1177" s="9" t="s">
        <v>702</v>
      </c>
      <c r="H1177" s="10">
        <v>3.0</v>
      </c>
    </row>
    <row r="1178" spans="8:8" ht="15.0">
      <c r="A1178" s="2">
        <v>1976.0</v>
      </c>
      <c r="B1178" s="7" t="s">
        <v>691</v>
      </c>
      <c r="C1178" s="7" t="s">
        <v>18</v>
      </c>
      <c r="D1178" s="8" t="s">
        <v>703</v>
      </c>
      <c r="E1178" s="8" t="s">
        <v>704</v>
      </c>
      <c r="F1178" s="8" t="s">
        <v>477</v>
      </c>
      <c r="G1178" s="9" t="s">
        <v>705</v>
      </c>
      <c r="H1178" s="10">
        <v>3.0</v>
      </c>
    </row>
    <row r="1179" spans="8:8" ht="23.85" hidden="1">
      <c r="A1179" s="2">
        <v>1977.0</v>
      </c>
      <c r="B1179" s="3" t="s">
        <v>691</v>
      </c>
      <c r="C1179" s="3" t="s">
        <v>9</v>
      </c>
      <c r="D1179" s="4" t="s">
        <v>14</v>
      </c>
      <c r="E1179" s="4" t="s">
        <v>15</v>
      </c>
      <c r="F1179" s="4" t="s">
        <v>16</v>
      </c>
      <c r="G1179" s="5" t="s">
        <v>17</v>
      </c>
      <c r="H1179" s="6">
        <v>0.0</v>
      </c>
    </row>
    <row r="1180" spans="8:8" ht="23.85" hidden="1">
      <c r="A1180" s="2">
        <v>1978.0</v>
      </c>
      <c r="B1180" s="3" t="s">
        <v>691</v>
      </c>
      <c r="C1180" s="3" t="s">
        <v>9</v>
      </c>
      <c r="D1180" s="4" t="s">
        <v>14</v>
      </c>
      <c r="E1180" s="4" t="s">
        <v>15</v>
      </c>
      <c r="F1180" s="4" t="s">
        <v>16</v>
      </c>
      <c r="G1180" s="5" t="s">
        <v>17</v>
      </c>
      <c r="H1180" s="6">
        <v>0.0</v>
      </c>
    </row>
    <row r="1181" spans="8:8" ht="15.0">
      <c r="A1181" s="2">
        <v>1979.0</v>
      </c>
      <c r="B1181" s="7" t="s">
        <v>691</v>
      </c>
      <c r="C1181" s="7" t="s">
        <v>18</v>
      </c>
      <c r="D1181" s="8" t="s">
        <v>706</v>
      </c>
      <c r="E1181" s="8" t="s">
        <v>334</v>
      </c>
      <c r="F1181" s="8" t="s">
        <v>707</v>
      </c>
      <c r="G1181" s="9" t="s">
        <v>708</v>
      </c>
      <c r="H1181" s="10">
        <v>3.0</v>
      </c>
    </row>
    <row r="1182" spans="8:8" ht="23.85">
      <c r="A1182" s="2">
        <v>1980.0</v>
      </c>
      <c r="B1182" s="7" t="s">
        <v>691</v>
      </c>
      <c r="C1182" s="7" t="s">
        <v>18</v>
      </c>
      <c r="D1182" s="8" t="s">
        <v>709</v>
      </c>
      <c r="E1182" s="8" t="s">
        <v>710</v>
      </c>
      <c r="F1182" s="8" t="s">
        <v>497</v>
      </c>
      <c r="G1182" s="9" t="s">
        <v>711</v>
      </c>
      <c r="H1182" s="10">
        <v>3.0</v>
      </c>
    </row>
    <row r="1183" spans="8:8" ht="23.85" hidden="1">
      <c r="A1183" s="2">
        <v>1981.0</v>
      </c>
      <c r="B1183" s="3" t="s">
        <v>691</v>
      </c>
      <c r="C1183" s="3" t="s">
        <v>9</v>
      </c>
      <c r="D1183" s="4" t="s">
        <v>14</v>
      </c>
      <c r="E1183" s="4" t="s">
        <v>15</v>
      </c>
      <c r="F1183" s="4" t="s">
        <v>16</v>
      </c>
      <c r="G1183" s="5" t="s">
        <v>17</v>
      </c>
      <c r="H1183" s="6">
        <v>0.0</v>
      </c>
    </row>
    <row r="1184" spans="8:8" ht="35.05">
      <c r="A1184" s="2">
        <v>1982.0</v>
      </c>
      <c r="B1184" s="7" t="s">
        <v>691</v>
      </c>
      <c r="C1184" s="12" t="s">
        <v>18</v>
      </c>
      <c r="D1184" s="8" t="s">
        <v>712</v>
      </c>
      <c r="E1184" s="8" t="s">
        <v>713</v>
      </c>
      <c r="F1184" s="8" t="s">
        <v>622</v>
      </c>
      <c r="G1184" s="9" t="s">
        <v>714</v>
      </c>
      <c r="H1184" s="15">
        <v>5.0</v>
      </c>
    </row>
    <row r="1185" spans="8:8" ht="23.85">
      <c r="A1185" s="2">
        <v>1983.0</v>
      </c>
      <c r="B1185" s="7" t="s">
        <v>691</v>
      </c>
      <c r="C1185" s="7" t="s">
        <v>18</v>
      </c>
      <c r="D1185" s="8" t="s">
        <v>715</v>
      </c>
      <c r="E1185" s="8" t="s">
        <v>577</v>
      </c>
      <c r="F1185" s="8" t="s">
        <v>716</v>
      </c>
      <c r="G1185" s="9" t="s">
        <v>717</v>
      </c>
      <c r="H1185" s="10">
        <v>3.0</v>
      </c>
    </row>
    <row r="1186" spans="8:8" ht="23.85">
      <c r="A1186" s="2">
        <v>1984.0</v>
      </c>
      <c r="B1186" s="7" t="s">
        <v>691</v>
      </c>
      <c r="C1186" s="12" t="s">
        <v>18</v>
      </c>
      <c r="D1186" s="8" t="s">
        <v>718</v>
      </c>
      <c r="E1186" s="8" t="s">
        <v>285</v>
      </c>
      <c r="F1186" s="8" t="s">
        <v>497</v>
      </c>
      <c r="G1186" s="9" t="s">
        <v>719</v>
      </c>
      <c r="H1186" s="13">
        <v>4.0</v>
      </c>
    </row>
    <row r="1187" spans="8:8" ht="23.85">
      <c r="A1187" s="2">
        <v>1985.0</v>
      </c>
      <c r="B1187" s="7" t="s">
        <v>691</v>
      </c>
      <c r="C1187" s="7" t="s">
        <v>18</v>
      </c>
      <c r="D1187" s="8" t="s">
        <v>720</v>
      </c>
      <c r="E1187" s="8" t="s">
        <v>721</v>
      </c>
      <c r="F1187" s="8" t="s">
        <v>497</v>
      </c>
      <c r="G1187" s="9" t="s">
        <v>722</v>
      </c>
      <c r="H1187" s="10">
        <v>3.0</v>
      </c>
    </row>
    <row r="1188" spans="8:8" ht="23.85">
      <c r="A1188" s="2">
        <v>1986.0</v>
      </c>
      <c r="B1188" s="7" t="s">
        <v>691</v>
      </c>
      <c r="C1188" s="7" t="s">
        <v>18</v>
      </c>
      <c r="D1188" s="8" t="s">
        <v>723</v>
      </c>
      <c r="E1188" s="8" t="s">
        <v>724</v>
      </c>
      <c r="F1188" s="8" t="s">
        <v>504</v>
      </c>
      <c r="G1188" s="9" t="s">
        <v>725</v>
      </c>
      <c r="H1188" s="10">
        <v>3.0</v>
      </c>
    </row>
    <row r="1189" spans="8:8" ht="23.85">
      <c r="A1189" s="2">
        <v>1987.0</v>
      </c>
      <c r="B1189" s="7" t="s">
        <v>691</v>
      </c>
      <c r="C1189" s="12" t="s">
        <v>18</v>
      </c>
      <c r="D1189" s="8" t="s">
        <v>726</v>
      </c>
      <c r="E1189" s="8" t="s">
        <v>661</v>
      </c>
      <c r="F1189" s="8" t="s">
        <v>622</v>
      </c>
      <c r="G1189" s="9" t="s">
        <v>727</v>
      </c>
      <c r="H1189" s="15">
        <v>5.0</v>
      </c>
    </row>
    <row r="1190" spans="8:8" ht="15.0">
      <c r="A1190" s="2">
        <v>1988.0</v>
      </c>
      <c r="B1190" s="7" t="s">
        <v>691</v>
      </c>
      <c r="C1190" s="7" t="s">
        <v>18</v>
      </c>
      <c r="D1190" s="8" t="s">
        <v>728</v>
      </c>
      <c r="E1190" s="8" t="s">
        <v>729</v>
      </c>
      <c r="F1190" s="8" t="s">
        <v>497</v>
      </c>
      <c r="G1190" s="9" t="s">
        <v>730</v>
      </c>
      <c r="H1190" s="10">
        <v>3.0</v>
      </c>
    </row>
    <row r="1191" spans="8:8" ht="23.85">
      <c r="A1191" s="2">
        <v>1989.0</v>
      </c>
      <c r="B1191" s="7" t="s">
        <v>691</v>
      </c>
      <c r="C1191" s="12" t="s">
        <v>18</v>
      </c>
      <c r="D1191" s="8" t="s">
        <v>731</v>
      </c>
      <c r="E1191" s="8" t="s">
        <v>732</v>
      </c>
      <c r="F1191" s="8" t="s">
        <v>733</v>
      </c>
      <c r="G1191" s="9" t="s">
        <v>734</v>
      </c>
      <c r="H1191" s="13">
        <v>4.0</v>
      </c>
    </row>
    <row r="1192" spans="8:8" ht="23.85">
      <c r="A1192" s="2">
        <v>1990.0</v>
      </c>
      <c r="B1192" s="7" t="s">
        <v>691</v>
      </c>
      <c r="C1192" s="12" t="s">
        <v>18</v>
      </c>
      <c r="D1192" s="8" t="s">
        <v>735</v>
      </c>
      <c r="E1192" s="8" t="s">
        <v>454</v>
      </c>
      <c r="F1192" s="8" t="s">
        <v>736</v>
      </c>
      <c r="G1192" s="9" t="s">
        <v>737</v>
      </c>
      <c r="H1192" s="15">
        <v>5.0</v>
      </c>
    </row>
    <row r="1193" spans="8:8" ht="35.05">
      <c r="A1193" s="2">
        <v>1991.0</v>
      </c>
      <c r="B1193" s="7" t="s">
        <v>691</v>
      </c>
      <c r="C1193" s="12" t="s">
        <v>18</v>
      </c>
      <c r="D1193" s="8" t="s">
        <v>738</v>
      </c>
      <c r="E1193" s="8" t="s">
        <v>524</v>
      </c>
      <c r="F1193" s="8" t="s">
        <v>739</v>
      </c>
      <c r="G1193" s="9" t="s">
        <v>740</v>
      </c>
      <c r="H1193" s="13">
        <v>4.0</v>
      </c>
    </row>
    <row r="1194" spans="8:8" ht="35.05">
      <c r="A1194" s="2">
        <v>1992.0</v>
      </c>
      <c r="B1194" s="7" t="s">
        <v>691</v>
      </c>
      <c r="C1194" s="12" t="s">
        <v>18</v>
      </c>
      <c r="D1194" s="8" t="s">
        <v>741</v>
      </c>
      <c r="E1194" s="8" t="s">
        <v>742</v>
      </c>
      <c r="F1194" s="8" t="s">
        <v>743</v>
      </c>
      <c r="G1194" s="9" t="s">
        <v>744</v>
      </c>
      <c r="H1194" s="13">
        <v>4.0</v>
      </c>
    </row>
    <row r="1195" spans="8:8" ht="15.0">
      <c r="A1195" s="2">
        <v>1993.0</v>
      </c>
      <c r="B1195" s="7" t="s">
        <v>691</v>
      </c>
      <c r="C1195" s="7" t="s">
        <v>18</v>
      </c>
      <c r="D1195" s="8" t="s">
        <v>745</v>
      </c>
      <c r="E1195" s="8" t="s">
        <v>392</v>
      </c>
      <c r="F1195" s="8" t="s">
        <v>94</v>
      </c>
      <c r="G1195" s="9" t="s">
        <v>746</v>
      </c>
      <c r="H1195" s="10">
        <v>3.0</v>
      </c>
    </row>
    <row r="1196" spans="8:8" ht="23.85">
      <c r="A1196" s="2">
        <v>1994.0</v>
      </c>
      <c r="B1196" s="7" t="s">
        <v>691</v>
      </c>
      <c r="C1196" s="12" t="s">
        <v>18</v>
      </c>
      <c r="D1196" s="8" t="s">
        <v>747</v>
      </c>
      <c r="E1196" s="8" t="s">
        <v>748</v>
      </c>
      <c r="F1196" s="8" t="s">
        <v>749</v>
      </c>
      <c r="G1196" s="9" t="s">
        <v>750</v>
      </c>
      <c r="H1196" s="13">
        <v>4.0</v>
      </c>
    </row>
    <row r="1197" spans="8:8" ht="23.85">
      <c r="A1197" s="2">
        <v>1995.0</v>
      </c>
      <c r="B1197" s="7" t="s">
        <v>691</v>
      </c>
      <c r="C1197" s="12" t="s">
        <v>18</v>
      </c>
      <c r="D1197" s="8" t="s">
        <v>751</v>
      </c>
      <c r="E1197" s="8" t="s">
        <v>752</v>
      </c>
      <c r="F1197" s="8" t="s">
        <v>753</v>
      </c>
      <c r="G1197" s="9" t="s">
        <v>754</v>
      </c>
      <c r="H1197" s="13">
        <v>4.0</v>
      </c>
    </row>
    <row r="1198" spans="8:8" ht="23.85">
      <c r="A1198" s="2">
        <v>1996.0</v>
      </c>
      <c r="B1198" s="7" t="s">
        <v>691</v>
      </c>
      <c r="C1198" s="7" t="s">
        <v>18</v>
      </c>
      <c r="D1198" s="8" t="s">
        <v>755</v>
      </c>
      <c r="E1198" s="8" t="s">
        <v>756</v>
      </c>
      <c r="F1198" s="8" t="s">
        <v>757</v>
      </c>
      <c r="G1198" s="9" t="s">
        <v>758</v>
      </c>
      <c r="H1198" s="10">
        <v>3.0</v>
      </c>
    </row>
    <row r="1199" spans="8:8" ht="35.05">
      <c r="A1199" s="2">
        <v>1997.0</v>
      </c>
      <c r="B1199" s="7" t="s">
        <v>691</v>
      </c>
      <c r="C1199" s="12" t="s">
        <v>18</v>
      </c>
      <c r="D1199" s="8" t="s">
        <v>759</v>
      </c>
      <c r="E1199" s="8" t="s">
        <v>760</v>
      </c>
      <c r="F1199" s="8" t="s">
        <v>761</v>
      </c>
      <c r="G1199" s="9" t="s">
        <v>762</v>
      </c>
      <c r="H1199" s="15">
        <v>5.0</v>
      </c>
    </row>
    <row r="1200" spans="8:8" ht="23.85">
      <c r="A1200" s="2">
        <v>1998.0</v>
      </c>
      <c r="B1200" s="7" t="s">
        <v>691</v>
      </c>
      <c r="C1200" s="12" t="s">
        <v>18</v>
      </c>
      <c r="D1200" s="8" t="s">
        <v>763</v>
      </c>
      <c r="E1200" s="8" t="s">
        <v>764</v>
      </c>
      <c r="F1200" s="8" t="s">
        <v>765</v>
      </c>
      <c r="G1200" s="9" t="s">
        <v>766</v>
      </c>
      <c r="H1200" s="15">
        <v>5.0</v>
      </c>
    </row>
    <row r="1201" spans="8:8" ht="15.0">
      <c r="A1201" s="2">
        <v>1999.0</v>
      </c>
      <c r="B1201" s="7" t="s">
        <v>691</v>
      </c>
      <c r="C1201" s="7" t="s">
        <v>18</v>
      </c>
      <c r="D1201" s="8" t="s">
        <v>767</v>
      </c>
      <c r="E1201" s="8" t="s">
        <v>451</v>
      </c>
      <c r="F1201" s="8" t="s">
        <v>768</v>
      </c>
      <c r="G1201" s="9" t="s">
        <v>769</v>
      </c>
      <c r="H1201" s="10">
        <v>3.0</v>
      </c>
    </row>
    <row r="1202" spans="8:8" ht="23.85">
      <c r="A1202" s="2">
        <v>2000.0</v>
      </c>
      <c r="B1202" s="7" t="s">
        <v>691</v>
      </c>
      <c r="C1202" s="12" t="s">
        <v>18</v>
      </c>
      <c r="D1202" s="8" t="s">
        <v>770</v>
      </c>
      <c r="E1202" s="8" t="s">
        <v>454</v>
      </c>
      <c r="F1202" s="8" t="s">
        <v>707</v>
      </c>
      <c r="G1202" s="9" t="s">
        <v>771</v>
      </c>
      <c r="H1202" s="15">
        <v>5.0</v>
      </c>
    </row>
    <row r="1203" spans="8:8" ht="23.85">
      <c r="A1203" s="2">
        <v>2001.0</v>
      </c>
      <c r="B1203" s="7" t="s">
        <v>691</v>
      </c>
      <c r="C1203" s="12" t="s">
        <v>18</v>
      </c>
      <c r="D1203" s="8" t="s">
        <v>772</v>
      </c>
      <c r="E1203" s="8" t="s">
        <v>773</v>
      </c>
      <c r="F1203" s="8" t="s">
        <v>774</v>
      </c>
      <c r="G1203" s="9" t="s">
        <v>775</v>
      </c>
      <c r="H1203" s="15">
        <v>5.0</v>
      </c>
    </row>
    <row r="1204" spans="8:8" ht="23.85">
      <c r="A1204" s="2">
        <v>2002.0</v>
      </c>
      <c r="B1204" s="7" t="s">
        <v>691</v>
      </c>
      <c r="C1204" s="12" t="s">
        <v>18</v>
      </c>
      <c r="D1204" s="8" t="s">
        <v>776</v>
      </c>
      <c r="E1204" s="8" t="s">
        <v>556</v>
      </c>
      <c r="F1204" s="8" t="s">
        <v>497</v>
      </c>
      <c r="G1204" s="9" t="s">
        <v>777</v>
      </c>
      <c r="H1204" s="15">
        <v>5.0</v>
      </c>
    </row>
    <row r="1205" spans="8:8" ht="23.85">
      <c r="A1205" s="2">
        <v>2003.0</v>
      </c>
      <c r="B1205" s="7" t="s">
        <v>691</v>
      </c>
      <c r="C1205" s="12" t="s">
        <v>18</v>
      </c>
      <c r="D1205" s="8" t="s">
        <v>778</v>
      </c>
      <c r="E1205" s="8" t="s">
        <v>556</v>
      </c>
      <c r="F1205" s="8" t="s">
        <v>779</v>
      </c>
      <c r="G1205" s="9" t="s">
        <v>780</v>
      </c>
      <c r="H1205" s="13">
        <v>4.0</v>
      </c>
    </row>
    <row r="1206" spans="8:8" ht="23.85">
      <c r="A1206" s="2">
        <v>2004.0</v>
      </c>
      <c r="B1206" s="7" t="s">
        <v>691</v>
      </c>
      <c r="C1206" s="7" t="s">
        <v>18</v>
      </c>
      <c r="D1206" s="8" t="s">
        <v>781</v>
      </c>
      <c r="E1206" s="8" t="s">
        <v>556</v>
      </c>
      <c r="F1206" s="8" t="s">
        <v>782</v>
      </c>
      <c r="G1206" s="9" t="s">
        <v>783</v>
      </c>
      <c r="H1206" s="10">
        <v>3.0</v>
      </c>
    </row>
    <row r="1207" spans="8:8" ht="23.85">
      <c r="A1207" s="2">
        <v>2005.0</v>
      </c>
      <c r="B1207" s="7" t="s">
        <v>691</v>
      </c>
      <c r="C1207" s="7" t="s">
        <v>18</v>
      </c>
      <c r="D1207" s="8" t="s">
        <v>784</v>
      </c>
      <c r="E1207" s="8" t="s">
        <v>524</v>
      </c>
      <c r="F1207" s="8" t="s">
        <v>497</v>
      </c>
      <c r="G1207" s="9" t="s">
        <v>785</v>
      </c>
      <c r="H1207" s="10">
        <v>3.0</v>
      </c>
    </row>
    <row r="1208" spans="8:8" ht="23.85">
      <c r="A1208" s="2">
        <v>2006.0</v>
      </c>
      <c r="B1208" s="7" t="s">
        <v>691</v>
      </c>
      <c r="C1208" s="7" t="s">
        <v>18</v>
      </c>
      <c r="D1208" s="8" t="s">
        <v>786</v>
      </c>
      <c r="E1208" s="8" t="s">
        <v>787</v>
      </c>
      <c r="F1208" s="8" t="s">
        <v>497</v>
      </c>
      <c r="G1208" s="9" t="s">
        <v>788</v>
      </c>
      <c r="H1208" s="10">
        <v>3.0</v>
      </c>
    </row>
    <row r="1209" spans="8:8" ht="23.85">
      <c r="A1209" s="2">
        <v>2007.0</v>
      </c>
      <c r="B1209" s="7" t="s">
        <v>691</v>
      </c>
      <c r="C1209" s="12" t="s">
        <v>18</v>
      </c>
      <c r="D1209" s="8" t="s">
        <v>789</v>
      </c>
      <c r="E1209" s="8" t="s">
        <v>268</v>
      </c>
      <c r="F1209" s="8" t="s">
        <v>790</v>
      </c>
      <c r="G1209" s="9" t="s">
        <v>791</v>
      </c>
      <c r="H1209" s="15">
        <v>5.0</v>
      </c>
    </row>
    <row r="1210" spans="8:8" ht="46.25">
      <c r="A1210" s="2">
        <v>2008.0</v>
      </c>
      <c r="B1210" s="7" t="s">
        <v>691</v>
      </c>
      <c r="C1210" s="12" t="s">
        <v>18</v>
      </c>
      <c r="D1210" s="8" t="s">
        <v>792</v>
      </c>
      <c r="E1210" s="8" t="s">
        <v>793</v>
      </c>
      <c r="F1210" s="8" t="s">
        <v>622</v>
      </c>
      <c r="G1210" s="9" t="s">
        <v>794</v>
      </c>
      <c r="H1210" s="15">
        <v>5.0</v>
      </c>
    </row>
    <row r="1211" spans="8:8" ht="35.05">
      <c r="A1211" s="2">
        <v>2009.0</v>
      </c>
      <c r="B1211" s="7" t="s">
        <v>691</v>
      </c>
      <c r="C1211" s="12" t="s">
        <v>18</v>
      </c>
      <c r="D1211" s="8" t="s">
        <v>795</v>
      </c>
      <c r="E1211" s="8" t="s">
        <v>556</v>
      </c>
      <c r="F1211" s="8" t="s">
        <v>796</v>
      </c>
      <c r="G1211" s="9" t="s">
        <v>797</v>
      </c>
      <c r="H1211" s="15">
        <v>5.0</v>
      </c>
    </row>
    <row r="1212" spans="8:8" ht="35.05">
      <c r="A1212" s="2">
        <v>2010.0</v>
      </c>
      <c r="B1212" s="7" t="s">
        <v>691</v>
      </c>
      <c r="C1212" s="12" t="s">
        <v>18</v>
      </c>
      <c r="D1212" s="8" t="s">
        <v>798</v>
      </c>
      <c r="E1212" s="8" t="s">
        <v>799</v>
      </c>
      <c r="F1212" s="8" t="s">
        <v>800</v>
      </c>
      <c r="G1212" s="9" t="s">
        <v>801</v>
      </c>
      <c r="H1212" s="15">
        <v>5.0</v>
      </c>
    </row>
    <row r="1213" spans="8:8" ht="35.05">
      <c r="A1213" s="2">
        <v>2011.0</v>
      </c>
      <c r="B1213" s="7" t="s">
        <v>691</v>
      </c>
      <c r="C1213" s="12" t="s">
        <v>18</v>
      </c>
      <c r="D1213" s="8" t="s">
        <v>802</v>
      </c>
      <c r="E1213" s="8" t="s">
        <v>803</v>
      </c>
      <c r="F1213" s="8" t="s">
        <v>804</v>
      </c>
      <c r="G1213" s="9" t="s">
        <v>805</v>
      </c>
      <c r="H1213" s="13">
        <v>4.0</v>
      </c>
    </row>
    <row r="1214" spans="8:8" ht="35.05">
      <c r="A1214" s="2">
        <v>2012.0</v>
      </c>
      <c r="B1214" s="7" t="s">
        <v>691</v>
      </c>
      <c r="C1214" s="12" t="s">
        <v>18</v>
      </c>
      <c r="D1214" s="8" t="s">
        <v>806</v>
      </c>
      <c r="E1214" s="8" t="s">
        <v>807</v>
      </c>
      <c r="F1214" s="8" t="s">
        <v>739</v>
      </c>
      <c r="G1214" s="9" t="s">
        <v>808</v>
      </c>
      <c r="H1214" s="13">
        <v>4.0</v>
      </c>
    </row>
    <row r="1215" spans="8:8" ht="35.05">
      <c r="A1215" s="2">
        <v>2013.0</v>
      </c>
      <c r="B1215" s="7" t="s">
        <v>691</v>
      </c>
      <c r="C1215" s="7" t="s">
        <v>18</v>
      </c>
      <c r="D1215" s="8" t="s">
        <v>809</v>
      </c>
      <c r="E1215" s="8" t="s">
        <v>810</v>
      </c>
      <c r="F1215" s="8" t="s">
        <v>811</v>
      </c>
      <c r="G1215" s="9" t="s">
        <v>812</v>
      </c>
      <c r="H1215" s="10">
        <v>3.0</v>
      </c>
    </row>
    <row r="1216" spans="8:8" ht="35.05">
      <c r="A1216" s="2">
        <v>2014.0</v>
      </c>
      <c r="B1216" s="7" t="s">
        <v>691</v>
      </c>
      <c r="C1216" s="12" t="s">
        <v>18</v>
      </c>
      <c r="D1216" s="8" t="s">
        <v>813</v>
      </c>
      <c r="E1216" s="8" t="s">
        <v>732</v>
      </c>
      <c r="F1216" s="8" t="s">
        <v>814</v>
      </c>
      <c r="G1216" s="9" t="s">
        <v>815</v>
      </c>
      <c r="H1216" s="13">
        <v>4.0</v>
      </c>
    </row>
    <row r="1217" spans="8:8" ht="35.05">
      <c r="A1217" s="2">
        <v>2015.0</v>
      </c>
      <c r="B1217" s="7" t="s">
        <v>691</v>
      </c>
      <c r="C1217" s="12" t="s">
        <v>18</v>
      </c>
      <c r="D1217" s="8" t="s">
        <v>816</v>
      </c>
      <c r="E1217" s="8" t="s">
        <v>647</v>
      </c>
      <c r="F1217" s="8" t="s">
        <v>817</v>
      </c>
      <c r="G1217" s="9" t="s">
        <v>818</v>
      </c>
      <c r="H1217" s="13">
        <v>4.0</v>
      </c>
    </row>
    <row r="1218" spans="8:8" ht="35.05">
      <c r="A1218" s="2">
        <v>2016.0</v>
      </c>
      <c r="B1218" s="7" t="s">
        <v>691</v>
      </c>
      <c r="C1218" s="12" t="s">
        <v>18</v>
      </c>
      <c r="D1218" s="8" t="s">
        <v>819</v>
      </c>
      <c r="E1218" s="8" t="s">
        <v>820</v>
      </c>
      <c r="F1218" s="8" t="s">
        <v>821</v>
      </c>
      <c r="G1218" s="9" t="s">
        <v>822</v>
      </c>
      <c r="H1218" s="13">
        <v>4.0</v>
      </c>
    </row>
    <row r="1219" spans="8:8" ht="35.05">
      <c r="A1219" s="2">
        <v>2017.0</v>
      </c>
      <c r="B1219" s="7" t="s">
        <v>691</v>
      </c>
      <c r="C1219" s="7" t="s">
        <v>18</v>
      </c>
      <c r="D1219" s="8" t="s">
        <v>823</v>
      </c>
      <c r="E1219" s="8" t="s">
        <v>824</v>
      </c>
      <c r="F1219" s="8" t="s">
        <v>825</v>
      </c>
      <c r="G1219" s="9" t="s">
        <v>826</v>
      </c>
      <c r="H1219" s="10">
        <v>3.0</v>
      </c>
    </row>
    <row r="1220" spans="8:8" ht="46.25">
      <c r="A1220" s="2">
        <v>2018.0</v>
      </c>
      <c r="B1220" s="7" t="s">
        <v>691</v>
      </c>
      <c r="C1220" s="12" t="s">
        <v>18</v>
      </c>
      <c r="D1220" s="8" t="s">
        <v>827</v>
      </c>
      <c r="E1220" s="8" t="s">
        <v>828</v>
      </c>
      <c r="F1220" s="8" t="s">
        <v>829</v>
      </c>
      <c r="G1220" s="9" t="s">
        <v>830</v>
      </c>
      <c r="H1220" s="13">
        <v>4.0</v>
      </c>
    </row>
    <row r="1221" spans="8:8" ht="35.05">
      <c r="A1221" s="2">
        <v>2019.0</v>
      </c>
      <c r="B1221" s="7" t="s">
        <v>691</v>
      </c>
      <c r="C1221" s="7" t="s">
        <v>18</v>
      </c>
      <c r="D1221" s="8" t="s">
        <v>831</v>
      </c>
      <c r="E1221" s="8" t="s">
        <v>832</v>
      </c>
      <c r="F1221" s="8" t="s">
        <v>833</v>
      </c>
      <c r="G1221" s="9" t="s">
        <v>834</v>
      </c>
      <c r="H1221" s="10">
        <v>3.0</v>
      </c>
    </row>
    <row r="1222" spans="8:8" ht="57.45">
      <c r="A1222" s="2">
        <v>2020.0</v>
      </c>
      <c r="B1222" s="7" t="s">
        <v>691</v>
      </c>
      <c r="C1222" s="12" t="s">
        <v>18</v>
      </c>
      <c r="D1222" s="8" t="s">
        <v>835</v>
      </c>
      <c r="E1222" s="8" t="s">
        <v>836</v>
      </c>
      <c r="F1222" s="8" t="s">
        <v>837</v>
      </c>
      <c r="G1222" s="9" t="s">
        <v>838</v>
      </c>
      <c r="H1222" s="15">
        <v>5.0</v>
      </c>
    </row>
    <row r="1223" spans="8:8" ht="46.25">
      <c r="A1223" s="2">
        <v>2021.0</v>
      </c>
      <c r="B1223" s="7" t="s">
        <v>691</v>
      </c>
      <c r="C1223" s="12" t="s">
        <v>18</v>
      </c>
      <c r="D1223" s="8" t="s">
        <v>839</v>
      </c>
      <c r="E1223" s="8" t="s">
        <v>840</v>
      </c>
      <c r="F1223" s="8" t="s">
        <v>841</v>
      </c>
      <c r="G1223" s="9" t="s">
        <v>842</v>
      </c>
      <c r="H1223" s="13">
        <v>4.0</v>
      </c>
    </row>
    <row r="1224" spans="8:8" ht="46.25">
      <c r="A1224" s="2">
        <v>2022.0</v>
      </c>
      <c r="B1224" s="7" t="s">
        <v>691</v>
      </c>
      <c r="C1224" s="12" t="s">
        <v>18</v>
      </c>
      <c r="D1224" s="8" t="s">
        <v>843</v>
      </c>
      <c r="E1224" s="8" t="s">
        <v>844</v>
      </c>
      <c r="F1224" s="8" t="s">
        <v>845</v>
      </c>
      <c r="G1224" s="9" t="s">
        <v>846</v>
      </c>
      <c r="H1224" s="15">
        <v>5.0</v>
      </c>
    </row>
    <row r="1225" spans="8:8" ht="46.25">
      <c r="A1225" s="2">
        <v>2023.0</v>
      </c>
      <c r="B1225" s="7" t="s">
        <v>691</v>
      </c>
      <c r="C1225" s="12" t="s">
        <v>18</v>
      </c>
      <c r="D1225" s="8" t="s">
        <v>847</v>
      </c>
      <c r="E1225" s="8" t="s">
        <v>848</v>
      </c>
      <c r="F1225" s="8" t="s">
        <v>849</v>
      </c>
      <c r="G1225" s="9" t="s">
        <v>850</v>
      </c>
      <c r="H1225" s="15">
        <v>5.0</v>
      </c>
    </row>
    <row r="1226" spans="8:8" ht="46.25">
      <c r="A1226" s="2">
        <v>2024.0</v>
      </c>
      <c r="B1226" s="7" t="s">
        <v>691</v>
      </c>
      <c r="C1226" s="7" t="s">
        <v>18</v>
      </c>
      <c r="D1226" s="8" t="s">
        <v>851</v>
      </c>
      <c r="E1226" s="8" t="s">
        <v>852</v>
      </c>
      <c r="F1226" s="8" t="s">
        <v>853</v>
      </c>
      <c r="G1226" s="9" t="s">
        <v>854</v>
      </c>
      <c r="H1226" s="10">
        <v>3.0</v>
      </c>
    </row>
    <row r="1227" spans="8:8" ht="79.85">
      <c r="A1227" s="2">
        <v>2025.0</v>
      </c>
      <c r="B1227" s="7" t="s">
        <v>691</v>
      </c>
      <c r="C1227" s="12" t="s">
        <v>18</v>
      </c>
      <c r="D1227" s="8" t="s">
        <v>855</v>
      </c>
      <c r="E1227" s="8" t="s">
        <v>856</v>
      </c>
      <c r="F1227" s="8" t="s">
        <v>857</v>
      </c>
      <c r="G1227" s="9" t="s">
        <v>858</v>
      </c>
      <c r="H1227" s="13">
        <v>4.0</v>
      </c>
    </row>
    <row r="1228" spans="8:8" ht="68.65">
      <c r="A1228" s="2">
        <v>2026.0</v>
      </c>
      <c r="B1228" s="7" t="s">
        <v>691</v>
      </c>
      <c r="C1228" s="7" t="s">
        <v>18</v>
      </c>
      <c r="D1228" s="8" t="s">
        <v>859</v>
      </c>
      <c r="E1228" s="8" t="s">
        <v>860</v>
      </c>
      <c r="F1228" s="8" t="s">
        <v>622</v>
      </c>
      <c r="G1228" s="9" t="s">
        <v>861</v>
      </c>
      <c r="H1228" s="10">
        <v>3.0</v>
      </c>
    </row>
  </sheetData>
  <autoFilter ref="A1:H1228">
    <filterColumn colId="2" showButton="1">
      <filters>
        <filter val="EVENT"/>
      </filters>
    </filterColumn>
  </autoFilter>
  <pageMargins left="0.75" right="0.75" top="1.0" bottom="1.0" header="0.511811023622047" footer="0.511811023622047"/>
  <pageSetup paperSize="9"/>
</worksheet>
</file>

<file path=xl/worksheets/sheet2.xml><?xml version="1.0" encoding="utf-8"?>
<worksheet xmlns:r="http://schemas.openxmlformats.org/officeDocument/2006/relationships" xmlns="http://schemas.openxmlformats.org/spreadsheetml/2006/main">
  <dimension ref="A1:I290"/>
  <sheetViews>
    <sheetView workbookViewId="0">
      <pane ySplit="1" topLeftCell="A2" state="frozen" activePane="bottomLeft"/>
      <selection pane="bottomLeft" activeCell="A1" sqref="A1"/>
    </sheetView>
  </sheetViews>
  <sheetFormatPr defaultRowHeight="15.0" zeroHeight="1"/>
  <cols>
    <col min="1" max="1" customWidth="1" width="8.0" style="0"/>
    <col min="2" max="2" customWidth="1" width="22.0" style="0"/>
    <col min="3" max="3" customWidth="1" width="10.0" style="0"/>
    <col min="4" max="4" customWidth="1" width="46.0" style="0"/>
    <col min="5" max="5" customWidth="1" width="26.0" style="0"/>
    <col min="6" max="6" customWidth="1" width="28.0" style="0"/>
    <col min="7" max="7" customWidth="1" width="118.0" style="0"/>
    <col min="8" max="8" customWidth="1" width="13.0" style="0"/>
  </cols>
  <sheetData>
    <row r="1" spans="8:8" ht="30.0" customHeight="1">
      <c r="A1" s="1" t="s">
        <v>0</v>
      </c>
      <c r="B1" s="1" t="s">
        <v>1</v>
      </c>
      <c r="C1" s="1" t="s">
        <v>2</v>
      </c>
      <c r="D1" s="1" t="s">
        <v>3</v>
      </c>
      <c r="E1" s="1" t="s">
        <v>4</v>
      </c>
      <c r="F1" s="1" t="s">
        <v>5</v>
      </c>
      <c r="G1" s="1" t="s">
        <v>6</v>
      </c>
      <c r="H1" s="1" t="s">
        <v>7</v>
      </c>
    </row>
    <row r="2" spans="8:8" ht="23.85">
      <c r="A2" s="2">
        <v>806.0</v>
      </c>
      <c r="B2" s="7" t="s">
        <v>8</v>
      </c>
      <c r="C2" s="7" t="s">
        <v>18</v>
      </c>
      <c r="D2" s="8" t="s">
        <v>19</v>
      </c>
      <c r="E2" s="8" t="s">
        <v>20</v>
      </c>
      <c r="F2" s="8" t="s">
        <v>21</v>
      </c>
      <c r="G2" s="9" t="s">
        <v>22</v>
      </c>
      <c r="H2" s="10">
        <v>3.0</v>
      </c>
    </row>
    <row r="3" spans="8:8" ht="23.85">
      <c r="A3" s="2">
        <v>811.0</v>
      </c>
      <c r="B3" s="7" t="s">
        <v>8</v>
      </c>
      <c r="C3" s="7" t="s">
        <v>18</v>
      </c>
      <c r="D3" s="8" t="s">
        <v>23</v>
      </c>
      <c r="E3" s="8" t="s">
        <v>24</v>
      </c>
      <c r="F3" s="8" t="s">
        <v>21</v>
      </c>
      <c r="G3" s="9" t="s">
        <v>25</v>
      </c>
      <c r="H3" s="11">
        <v>2.0</v>
      </c>
    </row>
    <row r="4" spans="8:8" ht="23.85">
      <c r="A4" s="2">
        <v>845.0</v>
      </c>
      <c r="B4" s="7" t="s">
        <v>8</v>
      </c>
      <c r="C4" s="12" t="s">
        <v>18</v>
      </c>
      <c r="D4" s="8" t="s">
        <v>26</v>
      </c>
      <c r="E4" s="8" t="s">
        <v>27</v>
      </c>
      <c r="F4" s="8" t="s">
        <v>21</v>
      </c>
      <c r="G4" s="9" t="s">
        <v>28</v>
      </c>
      <c r="H4" s="13">
        <v>4.0</v>
      </c>
    </row>
    <row r="5" spans="8:8" ht="23.85">
      <c r="A5" s="2">
        <v>846.0</v>
      </c>
      <c r="B5" s="7" t="s">
        <v>8</v>
      </c>
      <c r="C5" s="7" t="s">
        <v>18</v>
      </c>
      <c r="D5" s="8" t="s">
        <v>29</v>
      </c>
      <c r="E5" s="8" t="s">
        <v>30</v>
      </c>
      <c r="F5" s="8" t="s">
        <v>21</v>
      </c>
      <c r="G5" s="9" t="s">
        <v>31</v>
      </c>
      <c r="H5" s="10">
        <v>3.0</v>
      </c>
    </row>
    <row r="6" spans="8:8" ht="23.85">
      <c r="A6" s="2">
        <v>861.0</v>
      </c>
      <c r="B6" s="7" t="s">
        <v>8</v>
      </c>
      <c r="C6" s="12" t="s">
        <v>18</v>
      </c>
      <c r="D6" s="8" t="s">
        <v>32</v>
      </c>
      <c r="E6" s="8" t="s">
        <v>33</v>
      </c>
      <c r="F6" s="8" t="s">
        <v>34</v>
      </c>
      <c r="G6" s="9" t="s">
        <v>35</v>
      </c>
      <c r="H6" s="13">
        <v>4.0</v>
      </c>
    </row>
    <row r="7" spans="8:8" ht="15.0">
      <c r="A7" s="2">
        <v>866.0</v>
      </c>
      <c r="B7" s="7" t="s">
        <v>8</v>
      </c>
      <c r="C7" s="12" t="s">
        <v>18</v>
      </c>
      <c r="D7" s="8" t="s">
        <v>36</v>
      </c>
      <c r="E7" s="8" t="s">
        <v>33</v>
      </c>
      <c r="F7" s="8" t="s">
        <v>34</v>
      </c>
      <c r="G7" s="9" t="s">
        <v>37</v>
      </c>
      <c r="H7" s="13">
        <v>4.0</v>
      </c>
    </row>
    <row r="8" spans="8:8" ht="23.85">
      <c r="A8" s="2">
        <v>869.0</v>
      </c>
      <c r="B8" s="7" t="s">
        <v>8</v>
      </c>
      <c r="C8" s="12" t="s">
        <v>18</v>
      </c>
      <c r="D8" s="8" t="s">
        <v>38</v>
      </c>
      <c r="E8" s="8" t="s">
        <v>39</v>
      </c>
      <c r="F8" s="8" t="s">
        <v>40</v>
      </c>
      <c r="G8" s="9" t="s">
        <v>41</v>
      </c>
      <c r="H8" s="13">
        <v>4.0</v>
      </c>
    </row>
    <row r="9" spans="8:8" ht="23.85">
      <c r="A9" s="2">
        <v>871.0</v>
      </c>
      <c r="B9" s="7" t="s">
        <v>8</v>
      </c>
      <c r="C9" s="12" t="s">
        <v>18</v>
      </c>
      <c r="D9" s="8" t="s">
        <v>42</v>
      </c>
      <c r="E9" s="8" t="s">
        <v>39</v>
      </c>
      <c r="F9" s="8" t="s">
        <v>40</v>
      </c>
      <c r="G9" s="9" t="s">
        <v>43</v>
      </c>
      <c r="H9" s="13">
        <v>4.0</v>
      </c>
    </row>
    <row r="10" spans="8:8" ht="15.0">
      <c r="A10" s="2">
        <v>878.0</v>
      </c>
      <c r="B10" s="7" t="s">
        <v>8</v>
      </c>
      <c r="C10" s="7" t="s">
        <v>18</v>
      </c>
      <c r="D10" s="8" t="s">
        <v>44</v>
      </c>
      <c r="E10" s="8" t="s">
        <v>39</v>
      </c>
      <c r="F10" s="8" t="s">
        <v>40</v>
      </c>
      <c r="G10" s="9" t="s">
        <v>45</v>
      </c>
      <c r="H10" s="10">
        <v>3.0</v>
      </c>
    </row>
    <row r="11" spans="8:8" ht="35.05">
      <c r="A11" s="2">
        <v>879.0</v>
      </c>
      <c r="B11" s="7" t="s">
        <v>8</v>
      </c>
      <c r="C11" s="12" t="s">
        <v>18</v>
      </c>
      <c r="D11" s="8" t="s">
        <v>46</v>
      </c>
      <c r="E11" s="8" t="s">
        <v>39</v>
      </c>
      <c r="F11" s="8" t="s">
        <v>21</v>
      </c>
      <c r="G11" s="9" t="s">
        <v>47</v>
      </c>
      <c r="H11" s="13">
        <v>4.0</v>
      </c>
    </row>
    <row r="12" spans="8:8" ht="15.0">
      <c r="A12" s="2">
        <v>880.0</v>
      </c>
      <c r="B12" s="7" t="s">
        <v>8</v>
      </c>
      <c r="C12" s="12" t="s">
        <v>18</v>
      </c>
      <c r="D12" s="8" t="s">
        <v>48</v>
      </c>
      <c r="E12" s="8" t="s">
        <v>39</v>
      </c>
      <c r="F12" s="8" t="s">
        <v>21</v>
      </c>
      <c r="G12" s="9" t="s">
        <v>49</v>
      </c>
      <c r="H12" s="13">
        <v>4.0</v>
      </c>
    </row>
    <row r="13" spans="8:8" ht="15.0">
      <c r="A13" s="2">
        <v>883.0</v>
      </c>
      <c r="B13" s="7" t="s">
        <v>8</v>
      </c>
      <c r="C13" s="7" t="s">
        <v>18</v>
      </c>
      <c r="D13" s="8" t="s">
        <v>50</v>
      </c>
      <c r="E13" s="8" t="s">
        <v>51</v>
      </c>
      <c r="F13" s="8" t="s">
        <v>40</v>
      </c>
      <c r="G13" s="9" t="s">
        <v>52</v>
      </c>
      <c r="H13" s="10">
        <v>3.0</v>
      </c>
    </row>
    <row r="14" spans="8:8" ht="35.05">
      <c r="A14" s="2">
        <v>908.0</v>
      </c>
      <c r="B14" s="7" t="s">
        <v>8</v>
      </c>
      <c r="C14" s="7" t="s">
        <v>18</v>
      </c>
      <c r="D14" s="8" t="s">
        <v>53</v>
      </c>
      <c r="E14" s="8" t="s">
        <v>11</v>
      </c>
      <c r="F14" s="8" t="s">
        <v>34</v>
      </c>
      <c r="G14" s="9" t="s">
        <v>54</v>
      </c>
      <c r="H14" s="14">
        <v>1.0</v>
      </c>
    </row>
    <row r="15" spans="8:8" ht="23.85">
      <c r="A15" s="2">
        <v>923.0</v>
      </c>
      <c r="B15" s="7" t="s">
        <v>8</v>
      </c>
      <c r="C15" s="7" t="s">
        <v>18</v>
      </c>
      <c r="D15" s="8" t="s">
        <v>55</v>
      </c>
      <c r="E15" s="8" t="s">
        <v>33</v>
      </c>
      <c r="F15" s="8" t="s">
        <v>34</v>
      </c>
      <c r="G15" s="9" t="s">
        <v>56</v>
      </c>
      <c r="H15" s="10">
        <v>3.0</v>
      </c>
    </row>
    <row r="16" spans="8:8" ht="15.0">
      <c r="A16" s="2">
        <v>932.0</v>
      </c>
      <c r="B16" s="7" t="s">
        <v>8</v>
      </c>
      <c r="C16" s="12" t="s">
        <v>18</v>
      </c>
      <c r="D16" s="8" t="s">
        <v>57</v>
      </c>
      <c r="E16" s="8" t="s">
        <v>33</v>
      </c>
      <c r="F16" s="8" t="s">
        <v>34</v>
      </c>
      <c r="G16" s="9" t="s">
        <v>58</v>
      </c>
      <c r="H16" s="13">
        <v>4.0</v>
      </c>
    </row>
    <row r="17" spans="8:8" ht="23.85">
      <c r="A17" s="2">
        <v>935.0</v>
      </c>
      <c r="B17" s="7" t="s">
        <v>8</v>
      </c>
      <c r="C17" s="12" t="s">
        <v>18</v>
      </c>
      <c r="D17" s="8" t="s">
        <v>59</v>
      </c>
      <c r="E17" s="8" t="s">
        <v>60</v>
      </c>
      <c r="F17" s="8" t="s">
        <v>34</v>
      </c>
      <c r="G17" s="9" t="s">
        <v>61</v>
      </c>
      <c r="H17" s="13">
        <v>4.0</v>
      </c>
    </row>
    <row r="18" spans="8:8" ht="15.0">
      <c r="A18" s="2">
        <v>945.0</v>
      </c>
      <c r="B18" s="7" t="s">
        <v>8</v>
      </c>
      <c r="C18" s="12" t="s">
        <v>18</v>
      </c>
      <c r="D18" s="8" t="s">
        <v>62</v>
      </c>
      <c r="E18" s="8" t="s">
        <v>33</v>
      </c>
      <c r="F18" s="8" t="s">
        <v>34</v>
      </c>
      <c r="G18" s="9" t="s">
        <v>63</v>
      </c>
      <c r="H18" s="13">
        <v>4.0</v>
      </c>
    </row>
    <row r="19" spans="8:8" ht="15.0">
      <c r="A19" s="2">
        <v>991.0</v>
      </c>
      <c r="B19" s="7" t="s">
        <v>8</v>
      </c>
      <c r="C19" s="7" t="s">
        <v>18</v>
      </c>
      <c r="D19" s="8" t="s">
        <v>67</v>
      </c>
      <c r="E19" s="8" t="s">
        <v>68</v>
      </c>
      <c r="F19" s="8" t="s">
        <v>69</v>
      </c>
      <c r="G19" s="9" t="s">
        <v>70</v>
      </c>
      <c r="H19" s="10">
        <v>3.0</v>
      </c>
    </row>
    <row r="20" spans="8:8" ht="15.0">
      <c r="A20" s="2">
        <v>994.0</v>
      </c>
      <c r="B20" s="7" t="s">
        <v>8</v>
      </c>
      <c r="C20" s="7" t="s">
        <v>18</v>
      </c>
      <c r="D20" s="8" t="s">
        <v>71</v>
      </c>
      <c r="E20" s="8" t="s">
        <v>68</v>
      </c>
      <c r="F20" s="8" t="s">
        <v>69</v>
      </c>
      <c r="G20" s="9" t="s">
        <v>72</v>
      </c>
      <c r="H20" s="10">
        <v>3.0</v>
      </c>
    </row>
    <row r="21" spans="8:8" ht="15.0">
      <c r="A21" s="2">
        <v>1002.0</v>
      </c>
      <c r="B21" s="7" t="s">
        <v>8</v>
      </c>
      <c r="C21" s="7" t="s">
        <v>18</v>
      </c>
      <c r="D21" s="8" t="s">
        <v>73</v>
      </c>
      <c r="E21" s="8" t="s">
        <v>68</v>
      </c>
      <c r="F21" s="8" t="s">
        <v>69</v>
      </c>
      <c r="G21" s="9" t="s">
        <v>74</v>
      </c>
      <c r="H21" s="10">
        <v>3.0</v>
      </c>
    </row>
    <row r="22" spans="8:8" ht="15.0">
      <c r="A22" s="2">
        <v>1004.0</v>
      </c>
      <c r="B22" s="7" t="s">
        <v>8</v>
      </c>
      <c r="C22" s="7" t="s">
        <v>18</v>
      </c>
      <c r="D22" s="8" t="s">
        <v>75</v>
      </c>
      <c r="E22" s="8" t="s">
        <v>27</v>
      </c>
      <c r="F22" s="8" t="s">
        <v>65</v>
      </c>
      <c r="G22" s="9" t="s">
        <v>76</v>
      </c>
      <c r="H22" s="11">
        <v>2.0</v>
      </c>
    </row>
    <row r="23" spans="8:8" ht="15.0">
      <c r="A23" s="2">
        <v>1007.0</v>
      </c>
      <c r="B23" s="7" t="s">
        <v>8</v>
      </c>
      <c r="C23" s="12" t="s">
        <v>18</v>
      </c>
      <c r="D23" s="8" t="s">
        <v>77</v>
      </c>
      <c r="E23" s="8" t="s">
        <v>68</v>
      </c>
      <c r="F23" s="8" t="s">
        <v>69</v>
      </c>
      <c r="G23" s="9" t="s">
        <v>78</v>
      </c>
      <c r="H23" s="13">
        <v>4.0</v>
      </c>
    </row>
    <row r="24" spans="8:8" ht="15.0">
      <c r="A24" s="2">
        <v>1012.0</v>
      </c>
      <c r="B24" s="7" t="s">
        <v>8</v>
      </c>
      <c r="C24" s="12" t="s">
        <v>18</v>
      </c>
      <c r="D24" s="8" t="s">
        <v>79</v>
      </c>
      <c r="E24" s="8" t="s">
        <v>68</v>
      </c>
      <c r="F24" s="8" t="s">
        <v>69</v>
      </c>
      <c r="G24" s="9" t="s">
        <v>80</v>
      </c>
      <c r="H24" s="13">
        <v>4.0</v>
      </c>
    </row>
    <row r="25" spans="8:8" ht="23.85">
      <c r="A25" s="2">
        <v>1018.0</v>
      </c>
      <c r="B25" s="7" t="s">
        <v>8</v>
      </c>
      <c r="C25" s="12" t="s">
        <v>18</v>
      </c>
      <c r="D25" s="8" t="s">
        <v>81</v>
      </c>
      <c r="E25" s="8" t="s">
        <v>68</v>
      </c>
      <c r="F25" s="8" t="s">
        <v>69</v>
      </c>
      <c r="G25" s="9" t="s">
        <v>82</v>
      </c>
      <c r="H25" s="13">
        <v>4.0</v>
      </c>
    </row>
    <row r="26" spans="8:8" ht="23.85">
      <c r="A26" s="2">
        <v>1020.0</v>
      </c>
      <c r="B26" s="7" t="s">
        <v>8</v>
      </c>
      <c r="C26" s="7" t="s">
        <v>18</v>
      </c>
      <c r="D26" s="8" t="s">
        <v>83</v>
      </c>
      <c r="E26" s="8" t="s">
        <v>84</v>
      </c>
      <c r="F26" s="8" t="s">
        <v>21</v>
      </c>
      <c r="G26" s="9" t="s">
        <v>85</v>
      </c>
      <c r="H26" s="10">
        <v>3.0</v>
      </c>
    </row>
    <row r="27" spans="8:8" ht="23.85">
      <c r="A27" s="2">
        <v>1030.0</v>
      </c>
      <c r="B27" s="7" t="s">
        <v>8</v>
      </c>
      <c r="C27" s="12" t="s">
        <v>18</v>
      </c>
      <c r="D27" s="8" t="s">
        <v>88</v>
      </c>
      <c r="E27" s="8" t="s">
        <v>89</v>
      </c>
      <c r="F27" s="8" t="s">
        <v>90</v>
      </c>
      <c r="G27" s="9" t="s">
        <v>91</v>
      </c>
      <c r="H27" s="13">
        <v>4.0</v>
      </c>
    </row>
    <row r="28" spans="8:8" ht="15.0">
      <c r="A28" s="2">
        <v>1032.0</v>
      </c>
      <c r="B28" s="7" t="s">
        <v>8</v>
      </c>
      <c r="C28" s="7" t="s">
        <v>18</v>
      </c>
      <c r="D28" s="8" t="s">
        <v>92</v>
      </c>
      <c r="E28" s="8" t="s">
        <v>93</v>
      </c>
      <c r="F28" s="8" t="s">
        <v>94</v>
      </c>
      <c r="G28" s="9" t="s">
        <v>95</v>
      </c>
      <c r="H28" s="10">
        <v>3.0</v>
      </c>
    </row>
    <row r="29" spans="8:8" ht="15.0">
      <c r="A29" s="2">
        <v>1042.0</v>
      </c>
      <c r="B29" s="7" t="s">
        <v>8</v>
      </c>
      <c r="C29" s="7" t="s">
        <v>18</v>
      </c>
      <c r="D29" s="8" t="s">
        <v>96</v>
      </c>
      <c r="E29" s="8" t="s">
        <v>89</v>
      </c>
      <c r="F29" s="8" t="s">
        <v>90</v>
      </c>
      <c r="G29" s="9" t="s">
        <v>97</v>
      </c>
      <c r="H29" s="10">
        <v>3.0</v>
      </c>
    </row>
    <row r="30" spans="8:8" ht="23.85">
      <c r="A30" s="2">
        <v>1050.0</v>
      </c>
      <c r="B30" s="7" t="s">
        <v>8</v>
      </c>
      <c r="C30" s="7" t="s">
        <v>18</v>
      </c>
      <c r="D30" s="8" t="s">
        <v>98</v>
      </c>
      <c r="E30" s="8" t="s">
        <v>20</v>
      </c>
      <c r="F30" s="8" t="s">
        <v>99</v>
      </c>
      <c r="G30" s="9" t="s">
        <v>100</v>
      </c>
      <c r="H30" s="10">
        <v>3.0</v>
      </c>
    </row>
    <row r="31" spans="8:8" ht="15.0">
      <c r="A31" s="2">
        <v>1059.0</v>
      </c>
      <c r="B31" s="7" t="s">
        <v>8</v>
      </c>
      <c r="C31" s="12" t="s">
        <v>18</v>
      </c>
      <c r="D31" s="8" t="s">
        <v>101</v>
      </c>
      <c r="E31" s="8" t="s">
        <v>89</v>
      </c>
      <c r="F31" s="8" t="s">
        <v>90</v>
      </c>
      <c r="G31" s="9" t="s">
        <v>102</v>
      </c>
      <c r="H31" s="13">
        <v>4.0</v>
      </c>
    </row>
    <row r="32" spans="8:8" ht="23.85">
      <c r="A32" s="2">
        <v>1065.0</v>
      </c>
      <c r="B32" s="7" t="s">
        <v>8</v>
      </c>
      <c r="C32" s="12" t="s">
        <v>18</v>
      </c>
      <c r="D32" s="8" t="s">
        <v>103</v>
      </c>
      <c r="E32" s="8" t="s">
        <v>104</v>
      </c>
      <c r="F32" s="8" t="s">
        <v>65</v>
      </c>
      <c r="G32" s="9" t="s">
        <v>105</v>
      </c>
      <c r="H32" s="15">
        <v>5.0</v>
      </c>
    </row>
    <row r="33" spans="8:8" ht="23.85">
      <c r="A33" s="2">
        <v>1067.0</v>
      </c>
      <c r="B33" s="7" t="s">
        <v>8</v>
      </c>
      <c r="C33" s="12" t="s">
        <v>18</v>
      </c>
      <c r="D33" s="8" t="s">
        <v>106</v>
      </c>
      <c r="E33" s="8" t="s">
        <v>104</v>
      </c>
      <c r="F33" s="8" t="s">
        <v>65</v>
      </c>
      <c r="G33" s="9" t="s">
        <v>107</v>
      </c>
      <c r="H33" s="15">
        <v>5.0</v>
      </c>
    </row>
    <row r="34" spans="8:8" ht="23.85">
      <c r="A34" s="2">
        <v>1069.0</v>
      </c>
      <c r="B34" s="7" t="s">
        <v>8</v>
      </c>
      <c r="C34" s="12" t="s">
        <v>18</v>
      </c>
      <c r="D34" s="8" t="s">
        <v>108</v>
      </c>
      <c r="E34" s="8" t="s">
        <v>104</v>
      </c>
      <c r="F34" s="8" t="s">
        <v>65</v>
      </c>
      <c r="G34" s="9" t="s">
        <v>109</v>
      </c>
      <c r="H34" s="15">
        <v>5.0</v>
      </c>
    </row>
    <row r="35" spans="8:8" ht="15.0">
      <c r="A35" s="2">
        <v>1071.0</v>
      </c>
      <c r="B35" s="7" t="s">
        <v>8</v>
      </c>
      <c r="C35" s="12" t="s">
        <v>18</v>
      </c>
      <c r="D35" s="8" t="s">
        <v>110</v>
      </c>
      <c r="E35" s="8" t="s">
        <v>111</v>
      </c>
      <c r="F35" s="8" t="s">
        <v>90</v>
      </c>
      <c r="G35" s="9" t="s">
        <v>112</v>
      </c>
      <c r="H35" s="13">
        <v>4.0</v>
      </c>
    </row>
    <row r="36" spans="8:8" ht="15.0">
      <c r="A36" s="2">
        <v>1072.0</v>
      </c>
      <c r="B36" s="7" t="s">
        <v>8</v>
      </c>
      <c r="C36" s="7" t="s">
        <v>18</v>
      </c>
      <c r="D36" s="8" t="s">
        <v>113</v>
      </c>
      <c r="E36" s="8" t="s">
        <v>51</v>
      </c>
      <c r="F36" s="8" t="s">
        <v>65</v>
      </c>
      <c r="G36" s="9" t="s">
        <v>114</v>
      </c>
      <c r="H36" s="10">
        <v>3.0</v>
      </c>
    </row>
    <row r="37" spans="8:8" ht="23.85">
      <c r="A37" s="2">
        <v>1078.0</v>
      </c>
      <c r="B37" s="7" t="s">
        <v>8</v>
      </c>
      <c r="C37" s="12" t="s">
        <v>18</v>
      </c>
      <c r="D37" s="8" t="s">
        <v>115</v>
      </c>
      <c r="E37" s="8" t="s">
        <v>116</v>
      </c>
      <c r="F37" s="8" t="s">
        <v>90</v>
      </c>
      <c r="G37" s="9" t="s">
        <v>117</v>
      </c>
      <c r="H37" s="15">
        <v>5.0</v>
      </c>
    </row>
    <row r="38" spans="8:8" ht="23.85">
      <c r="A38" s="2">
        <v>1082.0</v>
      </c>
      <c r="B38" s="7" t="s">
        <v>8</v>
      </c>
      <c r="C38" s="7" t="s">
        <v>18</v>
      </c>
      <c r="D38" s="8" t="s">
        <v>118</v>
      </c>
      <c r="E38" s="8" t="s">
        <v>119</v>
      </c>
      <c r="F38" s="8" t="s">
        <v>120</v>
      </c>
      <c r="G38" s="9" t="s">
        <v>121</v>
      </c>
      <c r="H38" s="10">
        <v>3.0</v>
      </c>
    </row>
    <row r="39" spans="8:8" ht="23.85">
      <c r="A39" s="2">
        <v>1092.0</v>
      </c>
      <c r="B39" s="7" t="s">
        <v>8</v>
      </c>
      <c r="C39" s="7" t="s">
        <v>18</v>
      </c>
      <c r="D39" s="8" t="s">
        <v>124</v>
      </c>
      <c r="E39" s="8" t="s">
        <v>125</v>
      </c>
      <c r="F39" s="8" t="s">
        <v>90</v>
      </c>
      <c r="G39" s="9" t="s">
        <v>126</v>
      </c>
      <c r="H39" s="11">
        <v>2.0</v>
      </c>
    </row>
    <row r="40" spans="8:8" ht="23.85">
      <c r="A40" s="2">
        <v>1096.0</v>
      </c>
      <c r="B40" s="7" t="s">
        <v>8</v>
      </c>
      <c r="C40" s="7" t="s">
        <v>18</v>
      </c>
      <c r="D40" s="8" t="s">
        <v>127</v>
      </c>
      <c r="E40" s="8" t="s">
        <v>128</v>
      </c>
      <c r="F40" s="8" t="s">
        <v>94</v>
      </c>
      <c r="G40" s="9" t="s">
        <v>129</v>
      </c>
      <c r="H40" s="10">
        <v>3.0</v>
      </c>
    </row>
    <row r="41" spans="8:8" ht="23.85">
      <c r="A41" s="2">
        <v>1124.0</v>
      </c>
      <c r="B41" s="7" t="s">
        <v>8</v>
      </c>
      <c r="C41" s="7" t="s">
        <v>18</v>
      </c>
      <c r="D41" s="8" t="s">
        <v>130</v>
      </c>
      <c r="E41" s="8" t="s">
        <v>131</v>
      </c>
      <c r="F41" s="8" t="s">
        <v>69</v>
      </c>
      <c r="G41" s="9" t="s">
        <v>132</v>
      </c>
      <c r="H41" s="10">
        <v>3.0</v>
      </c>
    </row>
    <row r="42" spans="8:8" ht="15.0">
      <c r="A42" s="2">
        <v>1135.0</v>
      </c>
      <c r="B42" s="7" t="s">
        <v>8</v>
      </c>
      <c r="C42" s="7" t="s">
        <v>18</v>
      </c>
      <c r="D42" s="8" t="s">
        <v>135</v>
      </c>
      <c r="E42" s="8" t="s">
        <v>89</v>
      </c>
      <c r="F42" s="8" t="s">
        <v>69</v>
      </c>
      <c r="G42" s="9" t="s">
        <v>136</v>
      </c>
      <c r="H42" s="10">
        <v>3.0</v>
      </c>
    </row>
    <row r="43" spans="8:8" ht="15.0">
      <c r="A43" s="2">
        <v>1141.0</v>
      </c>
      <c r="B43" s="7" t="s">
        <v>8</v>
      </c>
      <c r="C43" s="7" t="s">
        <v>18</v>
      </c>
      <c r="D43" s="8" t="s">
        <v>137</v>
      </c>
      <c r="E43" s="8" t="s">
        <v>89</v>
      </c>
      <c r="F43" s="8" t="s">
        <v>69</v>
      </c>
      <c r="G43" s="9" t="s">
        <v>138</v>
      </c>
      <c r="H43" s="10">
        <v>3.0</v>
      </c>
    </row>
    <row r="44" spans="8:8" ht="15.0">
      <c r="A44" s="2">
        <v>1160.0</v>
      </c>
      <c r="B44" s="7" t="s">
        <v>8</v>
      </c>
      <c r="C44" s="7" t="s">
        <v>18</v>
      </c>
      <c r="D44" s="8" t="s">
        <v>142</v>
      </c>
      <c r="E44" s="8" t="s">
        <v>143</v>
      </c>
      <c r="F44" s="8" t="s">
        <v>21</v>
      </c>
      <c r="G44" s="9" t="s">
        <v>144</v>
      </c>
      <c r="H44" s="10">
        <v>3.0</v>
      </c>
    </row>
    <row r="45" spans="8:8" ht="23.85">
      <c r="A45" s="2">
        <v>1179.0</v>
      </c>
      <c r="B45" s="7" t="s">
        <v>8</v>
      </c>
      <c r="C45" s="7" t="s">
        <v>18</v>
      </c>
      <c r="D45" s="8" t="s">
        <v>145</v>
      </c>
      <c r="E45" s="8" t="s">
        <v>146</v>
      </c>
      <c r="F45" s="8" t="s">
        <v>94</v>
      </c>
      <c r="G45" s="9" t="s">
        <v>147</v>
      </c>
      <c r="H45" s="14">
        <v>1.0</v>
      </c>
    </row>
    <row r="46" spans="8:8" ht="23.85">
      <c r="A46" s="2">
        <v>1182.0</v>
      </c>
      <c r="B46" s="7" t="s">
        <v>8</v>
      </c>
      <c r="C46" s="12" t="s">
        <v>18</v>
      </c>
      <c r="D46" s="8" t="s">
        <v>148</v>
      </c>
      <c r="E46" s="8" t="s">
        <v>149</v>
      </c>
      <c r="F46" s="8" t="s">
        <v>90</v>
      </c>
      <c r="G46" s="9" t="s">
        <v>150</v>
      </c>
      <c r="H46" s="13">
        <v>4.0</v>
      </c>
    </row>
    <row r="47" spans="8:8" ht="23.85">
      <c r="A47" s="2">
        <v>1187.0</v>
      </c>
      <c r="B47" s="7" t="s">
        <v>8</v>
      </c>
      <c r="C47" s="7" t="s">
        <v>18</v>
      </c>
      <c r="D47" s="8" t="s">
        <v>151</v>
      </c>
      <c r="E47" s="8" t="s">
        <v>152</v>
      </c>
      <c r="F47" s="8" t="s">
        <v>153</v>
      </c>
      <c r="G47" s="9" t="s">
        <v>154</v>
      </c>
      <c r="H47" s="10">
        <v>3.0</v>
      </c>
    </row>
    <row r="48" spans="8:8" ht="23.85">
      <c r="A48" s="2">
        <v>1190.0</v>
      </c>
      <c r="B48" s="7" t="s">
        <v>8</v>
      </c>
      <c r="C48" s="7" t="s">
        <v>18</v>
      </c>
      <c r="D48" s="8" t="s">
        <v>155</v>
      </c>
      <c r="E48" s="8" t="s">
        <v>156</v>
      </c>
      <c r="F48" s="8" t="s">
        <v>69</v>
      </c>
      <c r="G48" s="9" t="s">
        <v>157</v>
      </c>
      <c r="H48" s="10">
        <v>3.0</v>
      </c>
    </row>
    <row r="49" spans="8:8" ht="23.85">
      <c r="A49" s="2">
        <v>1194.0</v>
      </c>
      <c r="B49" s="7" t="s">
        <v>8</v>
      </c>
      <c r="C49" s="12" t="s">
        <v>18</v>
      </c>
      <c r="D49" s="8" t="s">
        <v>158</v>
      </c>
      <c r="E49" s="8" t="s">
        <v>111</v>
      </c>
      <c r="F49" s="8" t="s">
        <v>159</v>
      </c>
      <c r="G49" s="9" t="s">
        <v>160</v>
      </c>
      <c r="H49" s="13">
        <v>4.0</v>
      </c>
    </row>
    <row r="50" spans="8:8" ht="35.05">
      <c r="A50" s="2">
        <v>1204.0</v>
      </c>
      <c r="B50" s="7" t="s">
        <v>8</v>
      </c>
      <c r="C50" s="12" t="s">
        <v>18</v>
      </c>
      <c r="D50" s="8" t="s">
        <v>161</v>
      </c>
      <c r="E50" s="8" t="s">
        <v>162</v>
      </c>
      <c r="F50" s="8" t="s">
        <v>120</v>
      </c>
      <c r="G50" s="9" t="s">
        <v>163</v>
      </c>
      <c r="H50" s="15">
        <v>5.0</v>
      </c>
    </row>
    <row r="51" spans="8:8" ht="23.85">
      <c r="A51" s="2">
        <v>1205.0</v>
      </c>
      <c r="B51" s="7" t="s">
        <v>8</v>
      </c>
      <c r="C51" s="12" t="s">
        <v>18</v>
      </c>
      <c r="D51" s="8" t="s">
        <v>164</v>
      </c>
      <c r="E51" s="8" t="s">
        <v>165</v>
      </c>
      <c r="F51" s="8" t="s">
        <v>166</v>
      </c>
      <c r="G51" s="9" t="s">
        <v>167</v>
      </c>
      <c r="H51" s="13">
        <v>4.0</v>
      </c>
    </row>
    <row r="52" spans="8:8" ht="23.85">
      <c r="A52" s="2">
        <v>1210.0</v>
      </c>
      <c r="B52" s="7" t="s">
        <v>8</v>
      </c>
      <c r="C52" s="7" t="s">
        <v>18</v>
      </c>
      <c r="D52" s="8" t="s">
        <v>168</v>
      </c>
      <c r="E52" s="8" t="s">
        <v>27</v>
      </c>
      <c r="F52" s="8" t="s">
        <v>69</v>
      </c>
      <c r="G52" s="9" t="s">
        <v>169</v>
      </c>
      <c r="H52" s="10">
        <v>3.0</v>
      </c>
    </row>
    <row r="53" spans="8:8" ht="23.85">
      <c r="A53" s="2">
        <v>1215.0</v>
      </c>
      <c r="B53" s="7" t="s">
        <v>8</v>
      </c>
      <c r="C53" s="7" t="s">
        <v>18</v>
      </c>
      <c r="D53" s="8" t="s">
        <v>170</v>
      </c>
      <c r="E53" s="8" t="s">
        <v>171</v>
      </c>
      <c r="F53" s="8" t="s">
        <v>172</v>
      </c>
      <c r="G53" s="9" t="s">
        <v>173</v>
      </c>
      <c r="H53" s="14">
        <v>1.0</v>
      </c>
    </row>
    <row r="54" spans="8:8" ht="23.85">
      <c r="A54" s="2">
        <v>1220.0</v>
      </c>
      <c r="B54" s="7" t="s">
        <v>8</v>
      </c>
      <c r="C54" s="12" t="s">
        <v>18</v>
      </c>
      <c r="D54" s="8" t="s">
        <v>174</v>
      </c>
      <c r="E54" s="8" t="s">
        <v>39</v>
      </c>
      <c r="F54" s="8" t="s">
        <v>175</v>
      </c>
      <c r="G54" s="9" t="s">
        <v>176</v>
      </c>
      <c r="H54" s="15">
        <v>5.0</v>
      </c>
    </row>
    <row r="55" spans="8:8" ht="23.85">
      <c r="A55" s="2">
        <v>1221.0</v>
      </c>
      <c r="B55" s="7" t="s">
        <v>8</v>
      </c>
      <c r="C55" s="12" t="s">
        <v>18</v>
      </c>
      <c r="D55" s="8" t="s">
        <v>177</v>
      </c>
      <c r="E55" s="8" t="s">
        <v>39</v>
      </c>
      <c r="F55" s="8" t="s">
        <v>178</v>
      </c>
      <c r="G55" s="9" t="s">
        <v>179</v>
      </c>
      <c r="H55" s="13">
        <v>4.0</v>
      </c>
    </row>
    <row r="56" spans="8:8" ht="23.85">
      <c r="A56" s="2">
        <v>1224.0</v>
      </c>
      <c r="B56" s="7" t="s">
        <v>8</v>
      </c>
      <c r="C56" s="12" t="s">
        <v>18</v>
      </c>
      <c r="D56" s="8" t="s">
        <v>180</v>
      </c>
      <c r="E56" s="8" t="s">
        <v>181</v>
      </c>
      <c r="F56" s="8" t="s">
        <v>182</v>
      </c>
      <c r="G56" s="9" t="s">
        <v>183</v>
      </c>
      <c r="H56" s="13">
        <v>4.0</v>
      </c>
    </row>
    <row r="57" spans="8:8" ht="23.85">
      <c r="A57" s="2">
        <v>1240.0</v>
      </c>
      <c r="B57" s="7" t="s">
        <v>8</v>
      </c>
      <c r="C57" s="7" t="s">
        <v>18</v>
      </c>
      <c r="D57" s="8" t="s">
        <v>184</v>
      </c>
      <c r="E57" s="8" t="s">
        <v>11</v>
      </c>
      <c r="F57" s="8" t="s">
        <v>185</v>
      </c>
      <c r="G57" s="9" t="s">
        <v>186</v>
      </c>
      <c r="H57" s="14">
        <v>1.0</v>
      </c>
    </row>
    <row r="58" spans="8:8" ht="15.0">
      <c r="A58" s="2">
        <v>1250.0</v>
      </c>
      <c r="B58" s="7" t="s">
        <v>8</v>
      </c>
      <c r="C58" s="7" t="s">
        <v>18</v>
      </c>
      <c r="D58" s="8" t="s">
        <v>187</v>
      </c>
      <c r="E58" s="8" t="s">
        <v>111</v>
      </c>
      <c r="F58" s="8" t="s">
        <v>188</v>
      </c>
      <c r="G58" s="9" t="s">
        <v>189</v>
      </c>
      <c r="H58" s="10">
        <v>3.0</v>
      </c>
    </row>
    <row r="59" spans="8:8" ht="23.85">
      <c r="A59" s="2">
        <v>1254.0</v>
      </c>
      <c r="B59" s="7" t="s">
        <v>8</v>
      </c>
      <c r="C59" s="12" t="s">
        <v>18</v>
      </c>
      <c r="D59" s="8" t="s">
        <v>193</v>
      </c>
      <c r="E59" s="8" t="s">
        <v>60</v>
      </c>
      <c r="F59" s="8" t="s">
        <v>194</v>
      </c>
      <c r="G59" s="9" t="s">
        <v>195</v>
      </c>
      <c r="H59" s="13">
        <v>4.0</v>
      </c>
    </row>
    <row r="60" spans="8:8" ht="23.85">
      <c r="A60" s="2">
        <v>1257.0</v>
      </c>
      <c r="B60" s="7" t="s">
        <v>8</v>
      </c>
      <c r="C60" s="7" t="s">
        <v>18</v>
      </c>
      <c r="D60" s="8" t="s">
        <v>196</v>
      </c>
      <c r="E60" s="8" t="s">
        <v>197</v>
      </c>
      <c r="F60" s="8" t="s">
        <v>69</v>
      </c>
      <c r="G60" s="9" t="s">
        <v>198</v>
      </c>
      <c r="H60" s="11">
        <v>2.0</v>
      </c>
    </row>
    <row r="61" spans="8:8" ht="35.05">
      <c r="A61" s="2">
        <v>1258.0</v>
      </c>
      <c r="B61" s="7" t="s">
        <v>8</v>
      </c>
      <c r="C61" s="12" t="s">
        <v>18</v>
      </c>
      <c r="D61" s="8" t="s">
        <v>199</v>
      </c>
      <c r="E61" s="8" t="s">
        <v>200</v>
      </c>
      <c r="F61" s="8" t="s">
        <v>201</v>
      </c>
      <c r="G61" s="9" t="s">
        <v>202</v>
      </c>
      <c r="H61" s="15">
        <v>5.0</v>
      </c>
    </row>
    <row r="62" spans="8:8" ht="15.0">
      <c r="A62" s="2">
        <v>1264.0</v>
      </c>
      <c r="B62" s="7" t="s">
        <v>8</v>
      </c>
      <c r="C62" s="7" t="s">
        <v>18</v>
      </c>
      <c r="D62" s="8" t="s">
        <v>206</v>
      </c>
      <c r="E62" s="8" t="s">
        <v>207</v>
      </c>
      <c r="F62" s="8" t="s">
        <v>69</v>
      </c>
      <c r="G62" s="9" t="s">
        <v>208</v>
      </c>
      <c r="H62" s="11">
        <v>2.0</v>
      </c>
    </row>
    <row r="63" spans="8:8" ht="23.85">
      <c r="A63" s="2">
        <v>1266.0</v>
      </c>
      <c r="B63" s="7" t="s">
        <v>8</v>
      </c>
      <c r="C63" s="7" t="s">
        <v>18</v>
      </c>
      <c r="D63" s="8" t="s">
        <v>209</v>
      </c>
      <c r="E63" s="8" t="s">
        <v>152</v>
      </c>
      <c r="F63" s="8" t="s">
        <v>210</v>
      </c>
      <c r="G63" s="9" t="s">
        <v>211</v>
      </c>
      <c r="H63" s="11">
        <v>2.0</v>
      </c>
    </row>
    <row r="64" spans="8:8" ht="23.85">
      <c r="A64" s="2">
        <v>1269.0</v>
      </c>
      <c r="B64" s="7" t="s">
        <v>8</v>
      </c>
      <c r="C64" s="7" t="s">
        <v>18</v>
      </c>
      <c r="D64" s="8" t="s">
        <v>212</v>
      </c>
      <c r="E64" s="8" t="s">
        <v>213</v>
      </c>
      <c r="F64" s="8" t="s">
        <v>214</v>
      </c>
      <c r="G64" s="9" t="s">
        <v>215</v>
      </c>
      <c r="H64" s="11">
        <v>2.0</v>
      </c>
    </row>
    <row r="65" spans="8:8" ht="15.0">
      <c r="A65" s="2">
        <v>1274.0</v>
      </c>
      <c r="B65" s="7" t="s">
        <v>8</v>
      </c>
      <c r="C65" s="7" t="s">
        <v>18</v>
      </c>
      <c r="D65" s="8" t="s">
        <v>216</v>
      </c>
      <c r="E65" s="8" t="s">
        <v>146</v>
      </c>
      <c r="F65" s="8" t="s">
        <v>94</v>
      </c>
      <c r="G65" s="9" t="s">
        <v>217</v>
      </c>
      <c r="H65" s="11">
        <v>2.0</v>
      </c>
    </row>
    <row r="66" spans="8:8" ht="23.85">
      <c r="A66" s="2">
        <v>1275.0</v>
      </c>
      <c r="B66" s="7" t="s">
        <v>8</v>
      </c>
      <c r="C66" s="7" t="s">
        <v>18</v>
      </c>
      <c r="D66" s="8" t="s">
        <v>218</v>
      </c>
      <c r="E66" s="8" t="s">
        <v>213</v>
      </c>
      <c r="F66" s="8" t="s">
        <v>69</v>
      </c>
      <c r="G66" s="9" t="s">
        <v>219</v>
      </c>
      <c r="H66" s="10">
        <v>3.0</v>
      </c>
    </row>
    <row r="67" spans="8:8" ht="23.85">
      <c r="A67" s="2">
        <v>1284.0</v>
      </c>
      <c r="B67" s="7" t="s">
        <v>8</v>
      </c>
      <c r="C67" s="7" t="s">
        <v>18</v>
      </c>
      <c r="D67" s="8" t="s">
        <v>220</v>
      </c>
      <c r="E67" s="8" t="s">
        <v>221</v>
      </c>
      <c r="F67" s="8" t="s">
        <v>222</v>
      </c>
      <c r="G67" s="9" t="s">
        <v>223</v>
      </c>
      <c r="H67" s="11">
        <v>2.0</v>
      </c>
    </row>
    <row r="68" spans="8:8" ht="23.85">
      <c r="A68" s="2">
        <v>1287.0</v>
      </c>
      <c r="B68" s="7" t="s">
        <v>8</v>
      </c>
      <c r="C68" s="7" t="s">
        <v>18</v>
      </c>
      <c r="D68" s="8" t="s">
        <v>224</v>
      </c>
      <c r="E68" s="8" t="s">
        <v>225</v>
      </c>
      <c r="F68" s="8" t="s">
        <v>21</v>
      </c>
      <c r="G68" s="9" t="s">
        <v>226</v>
      </c>
      <c r="H68" s="10">
        <v>3.0</v>
      </c>
    </row>
    <row r="69" spans="8:8" ht="35.05">
      <c r="A69" s="2">
        <v>1290.0</v>
      </c>
      <c r="B69" s="7" t="s">
        <v>8</v>
      </c>
      <c r="C69" s="12" t="s">
        <v>18</v>
      </c>
      <c r="D69" s="8" t="s">
        <v>227</v>
      </c>
      <c r="E69" s="8" t="s">
        <v>27</v>
      </c>
      <c r="F69" s="8" t="s">
        <v>69</v>
      </c>
      <c r="G69" s="9" t="s">
        <v>228</v>
      </c>
      <c r="H69" s="13">
        <v>4.0</v>
      </c>
    </row>
    <row r="70" spans="8:8" ht="23.85">
      <c r="A70" s="2">
        <v>1291.0</v>
      </c>
      <c r="B70" s="7" t="s">
        <v>8</v>
      </c>
      <c r="C70" s="7" t="s">
        <v>18</v>
      </c>
      <c r="D70" s="8" t="s">
        <v>229</v>
      </c>
      <c r="E70" s="8" t="s">
        <v>39</v>
      </c>
      <c r="F70" s="8" t="s">
        <v>230</v>
      </c>
      <c r="G70" s="9" t="s">
        <v>231</v>
      </c>
      <c r="H70" s="10">
        <v>3.0</v>
      </c>
    </row>
    <row r="71" spans="8:8" ht="46.25">
      <c r="A71" s="2">
        <v>1294.0</v>
      </c>
      <c r="B71" s="7" t="s">
        <v>8</v>
      </c>
      <c r="C71" s="12" t="s">
        <v>18</v>
      </c>
      <c r="D71" s="8" t="s">
        <v>232</v>
      </c>
      <c r="E71" s="8" t="s">
        <v>233</v>
      </c>
      <c r="F71" s="8" t="s">
        <v>234</v>
      </c>
      <c r="G71" s="9" t="s">
        <v>235</v>
      </c>
      <c r="H71" s="13">
        <v>4.0</v>
      </c>
    </row>
    <row r="72" spans="8:8" ht="23.85">
      <c r="A72" s="2">
        <v>1296.0</v>
      </c>
      <c r="B72" s="7" t="s">
        <v>8</v>
      </c>
      <c r="C72" s="7" t="s">
        <v>18</v>
      </c>
      <c r="D72" s="8" t="s">
        <v>236</v>
      </c>
      <c r="E72" s="8" t="s">
        <v>237</v>
      </c>
      <c r="F72" s="8" t="s">
        <v>238</v>
      </c>
      <c r="G72" s="9" t="s">
        <v>239</v>
      </c>
      <c r="H72" s="11">
        <v>2.0</v>
      </c>
    </row>
    <row r="73" spans="8:8" ht="35.05">
      <c r="A73" s="2">
        <v>1297.0</v>
      </c>
      <c r="B73" s="7" t="s">
        <v>8</v>
      </c>
      <c r="C73" s="7" t="s">
        <v>18</v>
      </c>
      <c r="D73" s="8" t="s">
        <v>240</v>
      </c>
      <c r="E73" s="8" t="s">
        <v>241</v>
      </c>
      <c r="F73" s="8" t="s">
        <v>242</v>
      </c>
      <c r="G73" s="9" t="s">
        <v>243</v>
      </c>
      <c r="H73" s="10">
        <v>3.0</v>
      </c>
    </row>
    <row r="74" spans="8:8" ht="35.05">
      <c r="A74" s="2">
        <v>1298.0</v>
      </c>
      <c r="B74" s="7" t="s">
        <v>8</v>
      </c>
      <c r="C74" s="12" t="s">
        <v>18</v>
      </c>
      <c r="D74" s="8" t="s">
        <v>244</v>
      </c>
      <c r="E74" s="8" t="s">
        <v>84</v>
      </c>
      <c r="F74" s="8" t="s">
        <v>245</v>
      </c>
      <c r="G74" s="9" t="s">
        <v>246</v>
      </c>
      <c r="H74" s="15">
        <v>5.0</v>
      </c>
    </row>
    <row r="75" spans="8:8" ht="23.85">
      <c r="A75" s="2">
        <v>1299.0</v>
      </c>
      <c r="B75" s="7" t="s">
        <v>8</v>
      </c>
      <c r="C75" s="7" t="s">
        <v>18</v>
      </c>
      <c r="D75" s="8" t="s">
        <v>247</v>
      </c>
      <c r="E75" s="8" t="s">
        <v>248</v>
      </c>
      <c r="F75" s="8" t="s">
        <v>249</v>
      </c>
      <c r="G75" s="9" t="s">
        <v>250</v>
      </c>
      <c r="H75" s="10">
        <v>3.0</v>
      </c>
    </row>
    <row r="76" spans="8:8" ht="23.85">
      <c r="A76" s="2">
        <v>1303.0</v>
      </c>
      <c r="B76" s="7" t="s">
        <v>251</v>
      </c>
      <c r="C76" s="7" t="s">
        <v>18</v>
      </c>
      <c r="D76" s="8" t="s">
        <v>252</v>
      </c>
      <c r="E76" s="8" t="s">
        <v>89</v>
      </c>
      <c r="F76" s="8" t="s">
        <v>214</v>
      </c>
      <c r="G76" s="9" t="s">
        <v>253</v>
      </c>
      <c r="H76" s="10">
        <v>3.0</v>
      </c>
    </row>
    <row r="77" spans="8:8" ht="23.85">
      <c r="A77" s="2">
        <v>1306.0</v>
      </c>
      <c r="B77" s="7" t="s">
        <v>251</v>
      </c>
      <c r="C77" s="7" t="s">
        <v>18</v>
      </c>
      <c r="D77" s="8" t="s">
        <v>254</v>
      </c>
      <c r="E77" s="8" t="s">
        <v>27</v>
      </c>
      <c r="F77" s="8" t="s">
        <v>214</v>
      </c>
      <c r="G77" s="9" t="s">
        <v>255</v>
      </c>
      <c r="H77" s="10">
        <v>3.0</v>
      </c>
    </row>
    <row r="78" spans="8:8" ht="23.85">
      <c r="A78" s="2">
        <v>1307.0</v>
      </c>
      <c r="B78" s="7" t="s">
        <v>251</v>
      </c>
      <c r="C78" s="12" t="s">
        <v>18</v>
      </c>
      <c r="D78" s="8" t="s">
        <v>256</v>
      </c>
      <c r="E78" s="8" t="s">
        <v>27</v>
      </c>
      <c r="F78" s="8" t="s">
        <v>257</v>
      </c>
      <c r="G78" s="9" t="s">
        <v>258</v>
      </c>
      <c r="H78" s="13">
        <v>4.0</v>
      </c>
    </row>
    <row r="79" spans="8:8" ht="23.85">
      <c r="A79" s="2">
        <v>1312.0</v>
      </c>
      <c r="B79" s="7" t="s">
        <v>251</v>
      </c>
      <c r="C79" s="7" t="s">
        <v>18</v>
      </c>
      <c r="D79" s="8" t="s">
        <v>259</v>
      </c>
      <c r="E79" s="8" t="s">
        <v>27</v>
      </c>
      <c r="F79" s="8" t="s">
        <v>94</v>
      </c>
      <c r="G79" s="9" t="s">
        <v>260</v>
      </c>
      <c r="H79" s="11">
        <v>2.0</v>
      </c>
    </row>
    <row r="80" spans="8:8" ht="23.85">
      <c r="A80" s="2">
        <v>1315.0</v>
      </c>
      <c r="B80" s="7" t="s">
        <v>251</v>
      </c>
      <c r="C80" s="7" t="s">
        <v>18</v>
      </c>
      <c r="D80" s="8" t="s">
        <v>261</v>
      </c>
      <c r="E80" s="8" t="s">
        <v>262</v>
      </c>
      <c r="F80" s="8" t="s">
        <v>263</v>
      </c>
      <c r="G80" s="9" t="s">
        <v>264</v>
      </c>
      <c r="H80" s="10">
        <v>3.0</v>
      </c>
    </row>
    <row r="81" spans="8:8" ht="15.0">
      <c r="A81" s="2">
        <v>1316.0</v>
      </c>
      <c r="B81" s="7" t="s">
        <v>251</v>
      </c>
      <c r="C81" s="7" t="s">
        <v>18</v>
      </c>
      <c r="D81" s="8" t="s">
        <v>265</v>
      </c>
      <c r="E81" s="8" t="s">
        <v>93</v>
      </c>
      <c r="F81" s="8" t="s">
        <v>263</v>
      </c>
      <c r="G81" s="9" t="s">
        <v>266</v>
      </c>
      <c r="H81" s="10">
        <v>3.0</v>
      </c>
    </row>
    <row r="82" spans="8:8" ht="15.0">
      <c r="A82" s="2">
        <v>1317.0</v>
      </c>
      <c r="B82" s="7" t="s">
        <v>251</v>
      </c>
      <c r="C82" s="7" t="s">
        <v>18</v>
      </c>
      <c r="D82" s="8" t="s">
        <v>267</v>
      </c>
      <c r="E82" s="8" t="s">
        <v>268</v>
      </c>
      <c r="F82" s="8" t="s">
        <v>263</v>
      </c>
      <c r="G82" s="9" t="s">
        <v>269</v>
      </c>
      <c r="H82" s="11">
        <v>2.0</v>
      </c>
    </row>
    <row r="83" spans="8:8" ht="23.85">
      <c r="A83" s="2">
        <v>1326.0</v>
      </c>
      <c r="B83" s="7" t="s">
        <v>251</v>
      </c>
      <c r="C83" s="7" t="s">
        <v>18</v>
      </c>
      <c r="D83" s="8" t="s">
        <v>270</v>
      </c>
      <c r="E83" s="8" t="s">
        <v>84</v>
      </c>
      <c r="F83" s="8" t="s">
        <v>271</v>
      </c>
      <c r="G83" s="9" t="s">
        <v>272</v>
      </c>
      <c r="H83" s="10">
        <v>3.0</v>
      </c>
    </row>
    <row r="84" spans="8:8" ht="23.85">
      <c r="A84" s="2">
        <v>1330.0</v>
      </c>
      <c r="B84" s="7" t="s">
        <v>251</v>
      </c>
      <c r="C84" s="7" t="s">
        <v>18</v>
      </c>
      <c r="D84" s="8" t="s">
        <v>273</v>
      </c>
      <c r="E84" s="8" t="s">
        <v>274</v>
      </c>
      <c r="F84" s="8" t="s">
        <v>238</v>
      </c>
      <c r="G84" s="9" t="s">
        <v>275</v>
      </c>
      <c r="H84" s="10">
        <v>3.0</v>
      </c>
    </row>
    <row r="85" spans="8:8" ht="23.85">
      <c r="A85" s="2">
        <v>1331.0</v>
      </c>
      <c r="B85" s="7" t="s">
        <v>251</v>
      </c>
      <c r="C85" s="12" t="s">
        <v>18</v>
      </c>
      <c r="D85" s="8" t="s">
        <v>276</v>
      </c>
      <c r="E85" s="8" t="s">
        <v>277</v>
      </c>
      <c r="F85" s="8" t="s">
        <v>238</v>
      </c>
      <c r="G85" s="9" t="s">
        <v>278</v>
      </c>
      <c r="H85" s="13">
        <v>4.0</v>
      </c>
    </row>
    <row r="86" spans="8:8" ht="23.85">
      <c r="A86" s="2">
        <v>1332.0</v>
      </c>
      <c r="B86" s="7" t="s">
        <v>251</v>
      </c>
      <c r="C86" s="12" t="s">
        <v>18</v>
      </c>
      <c r="D86" s="8" t="s">
        <v>279</v>
      </c>
      <c r="E86" s="8" t="s">
        <v>116</v>
      </c>
      <c r="F86" s="8" t="s">
        <v>238</v>
      </c>
      <c r="G86" s="9" t="s">
        <v>280</v>
      </c>
      <c r="H86" s="13">
        <v>4.0</v>
      </c>
    </row>
    <row r="87" spans="8:8" ht="23.85">
      <c r="A87" s="2">
        <v>1339.0</v>
      </c>
      <c r="B87" s="7" t="s">
        <v>251</v>
      </c>
      <c r="C87" s="7" t="s">
        <v>18</v>
      </c>
      <c r="D87" s="8" t="s">
        <v>281</v>
      </c>
      <c r="E87" s="8" t="s">
        <v>60</v>
      </c>
      <c r="F87" s="8" t="s">
        <v>282</v>
      </c>
      <c r="G87" s="9" t="s">
        <v>283</v>
      </c>
      <c r="H87" s="10">
        <v>3.0</v>
      </c>
    </row>
    <row r="88" spans="8:8" ht="15.0">
      <c r="A88" s="2">
        <v>1341.0</v>
      </c>
      <c r="B88" s="7" t="s">
        <v>251</v>
      </c>
      <c r="C88" s="7" t="s">
        <v>18</v>
      </c>
      <c r="D88" s="8" t="s">
        <v>284</v>
      </c>
      <c r="E88" s="8" t="s">
        <v>285</v>
      </c>
      <c r="F88" s="8" t="s">
        <v>271</v>
      </c>
      <c r="G88" s="9" t="s">
        <v>286</v>
      </c>
      <c r="H88" s="10">
        <v>3.0</v>
      </c>
    </row>
    <row r="89" spans="8:8" ht="15.0">
      <c r="A89" s="2">
        <v>1342.0</v>
      </c>
      <c r="B89" s="7" t="s">
        <v>251</v>
      </c>
      <c r="C89" s="12" t="s">
        <v>18</v>
      </c>
      <c r="D89" s="8" t="s">
        <v>287</v>
      </c>
      <c r="E89" s="8" t="s">
        <v>285</v>
      </c>
      <c r="F89" s="8" t="s">
        <v>271</v>
      </c>
      <c r="G89" s="9" t="s">
        <v>288</v>
      </c>
      <c r="H89" s="13">
        <v>4.0</v>
      </c>
    </row>
    <row r="90" spans="8:8" ht="23.85">
      <c r="A90" s="2">
        <v>1343.0</v>
      </c>
      <c r="B90" s="7" t="s">
        <v>251</v>
      </c>
      <c r="C90" s="12" t="s">
        <v>18</v>
      </c>
      <c r="D90" s="8" t="s">
        <v>289</v>
      </c>
      <c r="E90" s="8" t="s">
        <v>84</v>
      </c>
      <c r="F90" s="8" t="s">
        <v>290</v>
      </c>
      <c r="G90" s="9" t="s">
        <v>291</v>
      </c>
      <c r="H90" s="13">
        <v>4.0</v>
      </c>
    </row>
    <row r="91" spans="8:8" ht="15.0">
      <c r="A91" s="2">
        <v>1345.0</v>
      </c>
      <c r="B91" s="7" t="s">
        <v>251</v>
      </c>
      <c r="C91" s="12" t="s">
        <v>18</v>
      </c>
      <c r="D91" s="8" t="s">
        <v>292</v>
      </c>
      <c r="E91" s="8" t="s">
        <v>285</v>
      </c>
      <c r="F91" s="8" t="s">
        <v>271</v>
      </c>
      <c r="G91" s="9" t="s">
        <v>293</v>
      </c>
      <c r="H91" s="13">
        <v>4.0</v>
      </c>
    </row>
    <row r="92" spans="8:8" ht="35.05">
      <c r="A92" s="2">
        <v>1346.0</v>
      </c>
      <c r="B92" s="7" t="s">
        <v>251</v>
      </c>
      <c r="C92" s="12" t="s">
        <v>18</v>
      </c>
      <c r="D92" s="8" t="s">
        <v>294</v>
      </c>
      <c r="E92" s="8" t="s">
        <v>84</v>
      </c>
      <c r="F92" s="8" t="s">
        <v>290</v>
      </c>
      <c r="G92" s="9" t="s">
        <v>295</v>
      </c>
      <c r="H92" s="15">
        <v>5.0</v>
      </c>
    </row>
    <row r="93" spans="8:8" ht="23.85">
      <c r="A93" s="2">
        <v>1348.0</v>
      </c>
      <c r="B93" s="7" t="s">
        <v>251</v>
      </c>
      <c r="C93" s="12" t="s">
        <v>18</v>
      </c>
      <c r="D93" s="8" t="s">
        <v>296</v>
      </c>
      <c r="E93" s="8" t="s">
        <v>39</v>
      </c>
      <c r="F93" s="8" t="s">
        <v>297</v>
      </c>
      <c r="G93" s="9" t="s">
        <v>298</v>
      </c>
      <c r="H93" s="15">
        <v>5.0</v>
      </c>
    </row>
    <row r="94" spans="8:8" ht="15.0">
      <c r="A94" s="2">
        <v>1349.0</v>
      </c>
      <c r="B94" s="7" t="s">
        <v>251</v>
      </c>
      <c r="C94" s="12" t="s">
        <v>18</v>
      </c>
      <c r="D94" s="8" t="s">
        <v>299</v>
      </c>
      <c r="E94" s="8" t="s">
        <v>39</v>
      </c>
      <c r="F94" s="8" t="s">
        <v>94</v>
      </c>
      <c r="G94" s="9" t="s">
        <v>300</v>
      </c>
      <c r="H94" s="13">
        <v>4.0</v>
      </c>
    </row>
    <row r="95" spans="8:8" ht="23.85">
      <c r="A95" s="2">
        <v>1350.0</v>
      </c>
      <c r="B95" s="7" t="s">
        <v>251</v>
      </c>
      <c r="C95" s="7" t="s">
        <v>18</v>
      </c>
      <c r="D95" s="8" t="s">
        <v>301</v>
      </c>
      <c r="E95" s="8" t="s">
        <v>302</v>
      </c>
      <c r="F95" s="8" t="s">
        <v>94</v>
      </c>
      <c r="G95" s="9" t="s">
        <v>303</v>
      </c>
      <c r="H95" s="10">
        <v>3.0</v>
      </c>
    </row>
    <row r="96" spans="8:8" ht="23.85">
      <c r="A96" s="2">
        <v>1356.0</v>
      </c>
      <c r="B96" s="7" t="s">
        <v>251</v>
      </c>
      <c r="C96" s="12" t="s">
        <v>18</v>
      </c>
      <c r="D96" s="8" t="s">
        <v>304</v>
      </c>
      <c r="E96" s="8" t="s">
        <v>181</v>
      </c>
      <c r="F96" s="8" t="s">
        <v>21</v>
      </c>
      <c r="G96" s="9" t="s">
        <v>305</v>
      </c>
      <c r="H96" s="13">
        <v>4.0</v>
      </c>
    </row>
    <row r="97" spans="8:8" ht="15.0">
      <c r="A97" s="2">
        <v>1361.0</v>
      </c>
      <c r="B97" s="7" t="s">
        <v>251</v>
      </c>
      <c r="C97" s="7" t="s">
        <v>18</v>
      </c>
      <c r="D97" s="8" t="s">
        <v>306</v>
      </c>
      <c r="E97" s="8" t="s">
        <v>39</v>
      </c>
      <c r="F97" s="8" t="s">
        <v>94</v>
      </c>
      <c r="G97" s="9" t="s">
        <v>307</v>
      </c>
      <c r="H97" s="11">
        <v>2.0</v>
      </c>
    </row>
    <row r="98" spans="8:8" ht="23.85">
      <c r="A98" s="2">
        <v>1375.0</v>
      </c>
      <c r="B98" s="7" t="s">
        <v>251</v>
      </c>
      <c r="C98" s="7" t="s">
        <v>18</v>
      </c>
      <c r="D98" s="8" t="s">
        <v>308</v>
      </c>
      <c r="E98" s="8" t="s">
        <v>207</v>
      </c>
      <c r="F98" s="8" t="s">
        <v>271</v>
      </c>
      <c r="G98" s="9" t="s">
        <v>309</v>
      </c>
      <c r="H98" s="11">
        <v>2.0</v>
      </c>
    </row>
    <row r="99" spans="8:8" ht="15.0">
      <c r="A99" s="2">
        <v>1378.0</v>
      </c>
      <c r="B99" s="7" t="s">
        <v>251</v>
      </c>
      <c r="C99" s="7" t="s">
        <v>18</v>
      </c>
      <c r="D99" s="8" t="s">
        <v>310</v>
      </c>
      <c r="E99" s="8" t="s">
        <v>311</v>
      </c>
      <c r="F99" s="8" t="s">
        <v>271</v>
      </c>
      <c r="G99" s="9" t="s">
        <v>312</v>
      </c>
      <c r="H99" s="11">
        <v>2.0</v>
      </c>
    </row>
    <row r="100" spans="8:8" ht="15.0">
      <c r="A100" s="2">
        <v>1381.0</v>
      </c>
      <c r="B100" s="7" t="s">
        <v>251</v>
      </c>
      <c r="C100" s="7" t="s">
        <v>18</v>
      </c>
      <c r="D100" s="8" t="s">
        <v>313</v>
      </c>
      <c r="E100" s="8" t="s">
        <v>311</v>
      </c>
      <c r="F100" s="8" t="s">
        <v>69</v>
      </c>
      <c r="G100" s="9" t="s">
        <v>314</v>
      </c>
      <c r="H100" s="11">
        <v>2.0</v>
      </c>
    </row>
    <row r="101" spans="8:8" ht="15.0">
      <c r="A101" s="2">
        <v>1390.0</v>
      </c>
      <c r="B101" s="7" t="s">
        <v>251</v>
      </c>
      <c r="C101" s="7" t="s">
        <v>18</v>
      </c>
      <c r="D101" s="8" t="s">
        <v>315</v>
      </c>
      <c r="E101" s="8" t="s">
        <v>20</v>
      </c>
      <c r="F101" s="8" t="s">
        <v>94</v>
      </c>
      <c r="G101" s="9" t="s">
        <v>316</v>
      </c>
      <c r="H101" s="10">
        <v>3.0</v>
      </c>
    </row>
    <row r="102" spans="8:8" ht="23.85">
      <c r="A102" s="2">
        <v>1395.0</v>
      </c>
      <c r="B102" s="7" t="s">
        <v>251</v>
      </c>
      <c r="C102" s="7" t="s">
        <v>18</v>
      </c>
      <c r="D102" s="8" t="s">
        <v>317</v>
      </c>
      <c r="E102" s="8" t="s">
        <v>318</v>
      </c>
      <c r="F102" s="8" t="s">
        <v>94</v>
      </c>
      <c r="G102" s="9" t="s">
        <v>319</v>
      </c>
      <c r="H102" s="10">
        <v>3.0</v>
      </c>
    </row>
    <row r="103" spans="8:8" ht="15.0">
      <c r="A103" s="2">
        <v>1400.0</v>
      </c>
      <c r="B103" s="7" t="s">
        <v>251</v>
      </c>
      <c r="C103" s="7" t="s">
        <v>18</v>
      </c>
      <c r="D103" s="8" t="s">
        <v>320</v>
      </c>
      <c r="E103" s="8" t="s">
        <v>318</v>
      </c>
      <c r="F103" s="8" t="s">
        <v>94</v>
      </c>
      <c r="G103" s="9" t="s">
        <v>321</v>
      </c>
      <c r="H103" s="10">
        <v>3.0</v>
      </c>
    </row>
    <row r="104" spans="8:8" ht="15.0">
      <c r="A104" s="2">
        <v>1410.0</v>
      </c>
      <c r="B104" s="7" t="s">
        <v>251</v>
      </c>
      <c r="C104" s="7" t="s">
        <v>18</v>
      </c>
      <c r="D104" s="8" t="s">
        <v>322</v>
      </c>
      <c r="E104" s="8" t="s">
        <v>20</v>
      </c>
      <c r="F104" s="8" t="s">
        <v>94</v>
      </c>
      <c r="G104" s="9" t="s">
        <v>323</v>
      </c>
      <c r="H104" s="10">
        <v>3.0</v>
      </c>
    </row>
    <row r="105" spans="8:8" ht="15.0">
      <c r="A105" s="2">
        <v>1415.0</v>
      </c>
      <c r="B105" s="7" t="s">
        <v>251</v>
      </c>
      <c r="C105" s="7" t="s">
        <v>18</v>
      </c>
      <c r="D105" s="8" t="s">
        <v>324</v>
      </c>
      <c r="E105" s="8" t="s">
        <v>20</v>
      </c>
      <c r="F105" s="8" t="s">
        <v>94</v>
      </c>
      <c r="G105" s="9" t="s">
        <v>325</v>
      </c>
      <c r="H105" s="11">
        <v>2.0</v>
      </c>
    </row>
    <row r="106" spans="8:8" ht="15.0">
      <c r="A106" s="2">
        <v>1421.0</v>
      </c>
      <c r="B106" s="7" t="s">
        <v>251</v>
      </c>
      <c r="C106" s="7" t="s">
        <v>18</v>
      </c>
      <c r="D106" s="8" t="s">
        <v>326</v>
      </c>
      <c r="E106" s="8" t="s">
        <v>327</v>
      </c>
      <c r="F106" s="8" t="s">
        <v>271</v>
      </c>
      <c r="G106" s="9" t="s">
        <v>328</v>
      </c>
      <c r="H106" s="11">
        <v>2.0</v>
      </c>
    </row>
    <row r="107" spans="8:8" ht="23.85">
      <c r="A107" s="2">
        <v>1425.0</v>
      </c>
      <c r="B107" s="7" t="s">
        <v>251</v>
      </c>
      <c r="C107" s="12" t="s">
        <v>18</v>
      </c>
      <c r="D107" s="8" t="s">
        <v>329</v>
      </c>
      <c r="E107" s="8" t="s">
        <v>181</v>
      </c>
      <c r="F107" s="8" t="s">
        <v>21</v>
      </c>
      <c r="G107" s="9" t="s">
        <v>330</v>
      </c>
      <c r="H107" s="13">
        <v>4.0</v>
      </c>
    </row>
    <row r="108" spans="8:8" ht="23.85">
      <c r="A108" s="2">
        <v>1441.0</v>
      </c>
      <c r="B108" s="7" t="s">
        <v>251</v>
      </c>
      <c r="C108" s="7" t="s">
        <v>18</v>
      </c>
      <c r="D108" s="8" t="s">
        <v>331</v>
      </c>
      <c r="E108" s="8" t="s">
        <v>241</v>
      </c>
      <c r="F108" s="8" t="s">
        <v>242</v>
      </c>
      <c r="G108" s="9" t="s">
        <v>332</v>
      </c>
      <c r="H108" s="10">
        <v>3.0</v>
      </c>
    </row>
    <row r="109" spans="8:8" ht="23.85">
      <c r="A109" s="2">
        <v>1450.0</v>
      </c>
      <c r="B109" s="7" t="s">
        <v>251</v>
      </c>
      <c r="C109" s="7" t="s">
        <v>18</v>
      </c>
      <c r="D109" s="8" t="s">
        <v>333</v>
      </c>
      <c r="E109" s="8" t="s">
        <v>334</v>
      </c>
      <c r="F109" s="8" t="s">
        <v>21</v>
      </c>
      <c r="G109" s="9" t="s">
        <v>335</v>
      </c>
      <c r="H109" s="10">
        <v>3.0</v>
      </c>
    </row>
    <row r="110" spans="8:8" ht="15.0">
      <c r="A110" s="2">
        <v>1453.0</v>
      </c>
      <c r="B110" s="7" t="s">
        <v>251</v>
      </c>
      <c r="C110" s="7" t="s">
        <v>18</v>
      </c>
      <c r="D110" s="8" t="s">
        <v>336</v>
      </c>
      <c r="E110" s="8" t="s">
        <v>39</v>
      </c>
      <c r="F110" s="8" t="s">
        <v>337</v>
      </c>
      <c r="G110" s="9" t="s">
        <v>338</v>
      </c>
      <c r="H110" s="10">
        <v>3.0</v>
      </c>
    </row>
    <row r="111" spans="8:8" ht="15.0">
      <c r="A111" s="2">
        <v>1457.0</v>
      </c>
      <c r="B111" s="7" t="s">
        <v>251</v>
      </c>
      <c r="C111" s="7" t="s">
        <v>18</v>
      </c>
      <c r="D111" s="8" t="s">
        <v>339</v>
      </c>
      <c r="E111" s="8" t="s">
        <v>318</v>
      </c>
      <c r="F111" s="8" t="s">
        <v>94</v>
      </c>
      <c r="G111" s="9" t="s">
        <v>340</v>
      </c>
      <c r="H111" s="10">
        <v>3.0</v>
      </c>
    </row>
    <row r="112" spans="8:8" ht="15.0">
      <c r="A112" s="2">
        <v>1460.0</v>
      </c>
      <c r="B112" s="7" t="s">
        <v>251</v>
      </c>
      <c r="C112" s="7" t="s">
        <v>18</v>
      </c>
      <c r="D112" s="8" t="s">
        <v>341</v>
      </c>
      <c r="E112" s="8" t="s">
        <v>318</v>
      </c>
      <c r="F112" s="8" t="s">
        <v>94</v>
      </c>
      <c r="G112" s="9" t="s">
        <v>342</v>
      </c>
      <c r="H112" s="10">
        <v>3.0</v>
      </c>
    </row>
    <row r="113" spans="8:8" ht="15.0">
      <c r="A113" s="2">
        <v>1468.0</v>
      </c>
      <c r="B113" s="7" t="s">
        <v>251</v>
      </c>
      <c r="C113" s="7" t="s">
        <v>18</v>
      </c>
      <c r="D113" s="8" t="s">
        <v>343</v>
      </c>
      <c r="E113" s="8" t="s">
        <v>84</v>
      </c>
      <c r="F113" s="8" t="s">
        <v>344</v>
      </c>
      <c r="G113" s="9" t="s">
        <v>345</v>
      </c>
      <c r="H113" s="11">
        <v>2.0</v>
      </c>
    </row>
    <row r="114" spans="8:8" ht="23.85">
      <c r="A114" s="2">
        <v>1470.0</v>
      </c>
      <c r="B114" s="7" t="s">
        <v>251</v>
      </c>
      <c r="C114" s="7" t="s">
        <v>18</v>
      </c>
      <c r="D114" s="8" t="s">
        <v>346</v>
      </c>
      <c r="E114" s="8" t="s">
        <v>347</v>
      </c>
      <c r="F114" s="8" t="s">
        <v>348</v>
      </c>
      <c r="G114" s="9" t="s">
        <v>349</v>
      </c>
      <c r="H114" s="11">
        <v>2.0</v>
      </c>
    </row>
    <row r="115" spans="8:8" ht="23.85">
      <c r="A115" s="2">
        <v>1478.0</v>
      </c>
      <c r="B115" s="7" t="s">
        <v>251</v>
      </c>
      <c r="C115" s="7" t="s">
        <v>18</v>
      </c>
      <c r="D115" s="8" t="s">
        <v>350</v>
      </c>
      <c r="E115" s="8" t="s">
        <v>351</v>
      </c>
      <c r="F115" s="8" t="s">
        <v>352</v>
      </c>
      <c r="G115" s="9" t="s">
        <v>353</v>
      </c>
      <c r="H115" s="10">
        <v>3.0</v>
      </c>
    </row>
    <row r="116" spans="8:8" ht="23.85">
      <c r="A116" s="2">
        <v>1485.0</v>
      </c>
      <c r="B116" s="7" t="s">
        <v>251</v>
      </c>
      <c r="C116" s="7" t="s">
        <v>18</v>
      </c>
      <c r="D116" s="8" t="s">
        <v>354</v>
      </c>
      <c r="E116" s="8" t="s">
        <v>84</v>
      </c>
      <c r="F116" s="8" t="s">
        <v>271</v>
      </c>
      <c r="G116" s="9" t="s">
        <v>355</v>
      </c>
      <c r="H116" s="10">
        <v>3.0</v>
      </c>
    </row>
    <row r="117" spans="8:8" ht="23.85">
      <c r="A117" s="2">
        <v>1492.0</v>
      </c>
      <c r="B117" s="7" t="s">
        <v>251</v>
      </c>
      <c r="C117" s="7" t="s">
        <v>18</v>
      </c>
      <c r="D117" s="8" t="s">
        <v>356</v>
      </c>
      <c r="E117" s="8" t="s">
        <v>27</v>
      </c>
      <c r="F117" s="8" t="s">
        <v>357</v>
      </c>
      <c r="G117" s="9" t="s">
        <v>358</v>
      </c>
      <c r="H117" s="10">
        <v>3.0</v>
      </c>
    </row>
    <row r="118" spans="8:8" ht="35.05">
      <c r="A118" s="2">
        <v>1494.0</v>
      </c>
      <c r="B118" s="7" t="s">
        <v>251</v>
      </c>
      <c r="C118" s="12" t="s">
        <v>18</v>
      </c>
      <c r="D118" s="8" t="s">
        <v>359</v>
      </c>
      <c r="E118" s="8" t="s">
        <v>84</v>
      </c>
      <c r="F118" s="8" t="s">
        <v>360</v>
      </c>
      <c r="G118" s="9" t="s">
        <v>361</v>
      </c>
      <c r="H118" s="13">
        <v>4.0</v>
      </c>
    </row>
    <row r="119" spans="8:8" ht="23.85">
      <c r="A119" s="2">
        <v>1499.0</v>
      </c>
      <c r="B119" s="7" t="s">
        <v>251</v>
      </c>
      <c r="C119" s="7" t="s">
        <v>18</v>
      </c>
      <c r="D119" s="8" t="s">
        <v>362</v>
      </c>
      <c r="E119" s="8" t="s">
        <v>285</v>
      </c>
      <c r="F119" s="8" t="s">
        <v>204</v>
      </c>
      <c r="G119" s="9" t="s">
        <v>363</v>
      </c>
      <c r="H119" s="10">
        <v>3.0</v>
      </c>
    </row>
    <row r="120" spans="8:8" ht="35.05">
      <c r="A120" s="2">
        <v>1519.0</v>
      </c>
      <c r="B120" s="7" t="s">
        <v>251</v>
      </c>
      <c r="C120" s="7" t="s">
        <v>18</v>
      </c>
      <c r="D120" s="8" t="s">
        <v>364</v>
      </c>
      <c r="E120" s="8" t="s">
        <v>365</v>
      </c>
      <c r="F120" s="8" t="s">
        <v>366</v>
      </c>
      <c r="G120" s="9" t="s">
        <v>367</v>
      </c>
      <c r="H120" s="11">
        <v>2.0</v>
      </c>
    </row>
    <row r="121" spans="8:8" ht="23.85">
      <c r="A121" s="2">
        <v>1523.0</v>
      </c>
      <c r="B121" s="7" t="s">
        <v>251</v>
      </c>
      <c r="C121" s="7" t="s">
        <v>18</v>
      </c>
      <c r="D121" s="8" t="s">
        <v>368</v>
      </c>
      <c r="E121" s="8" t="s">
        <v>369</v>
      </c>
      <c r="F121" s="8" t="s">
        <v>370</v>
      </c>
      <c r="G121" s="9" t="s">
        <v>371</v>
      </c>
      <c r="H121" s="14">
        <v>1.0</v>
      </c>
    </row>
    <row r="122" spans="8:8" ht="23.85">
      <c r="A122" s="2">
        <v>1525.0</v>
      </c>
      <c r="B122" s="7" t="s">
        <v>251</v>
      </c>
      <c r="C122" s="7" t="s">
        <v>18</v>
      </c>
      <c r="D122" s="8" t="s">
        <v>372</v>
      </c>
      <c r="E122" s="8" t="s">
        <v>373</v>
      </c>
      <c r="F122" s="8" t="s">
        <v>370</v>
      </c>
      <c r="G122" s="9" t="s">
        <v>374</v>
      </c>
      <c r="H122" s="11">
        <v>2.0</v>
      </c>
    </row>
    <row r="123" spans="8:8" ht="23.85">
      <c r="A123" s="2">
        <v>1527.0</v>
      </c>
      <c r="B123" s="7" t="s">
        <v>251</v>
      </c>
      <c r="C123" s="7" t="s">
        <v>18</v>
      </c>
      <c r="D123" s="8" t="s">
        <v>375</v>
      </c>
      <c r="E123" s="8" t="s">
        <v>39</v>
      </c>
      <c r="F123" s="8" t="s">
        <v>376</v>
      </c>
      <c r="G123" s="9" t="s">
        <v>377</v>
      </c>
      <c r="H123" s="10">
        <v>3.0</v>
      </c>
    </row>
    <row r="124" spans="8:8" ht="35.05">
      <c r="A124" s="2">
        <v>1529.0</v>
      </c>
      <c r="B124" s="7" t="s">
        <v>251</v>
      </c>
      <c r="C124" s="7" t="s">
        <v>18</v>
      </c>
      <c r="D124" s="8" t="s">
        <v>378</v>
      </c>
      <c r="E124" s="8" t="s">
        <v>379</v>
      </c>
      <c r="F124" s="8" t="s">
        <v>380</v>
      </c>
      <c r="G124" s="9" t="s">
        <v>381</v>
      </c>
      <c r="H124" s="10">
        <v>3.0</v>
      </c>
    </row>
    <row r="125" spans="8:8" ht="23.85">
      <c r="A125" s="2">
        <v>1540.0</v>
      </c>
      <c r="B125" s="7" t="s">
        <v>251</v>
      </c>
      <c r="C125" s="7" t="s">
        <v>18</v>
      </c>
      <c r="D125" s="8" t="s">
        <v>382</v>
      </c>
      <c r="E125" s="8" t="s">
        <v>143</v>
      </c>
      <c r="F125" s="8" t="s">
        <v>94</v>
      </c>
      <c r="G125" s="9" t="s">
        <v>383</v>
      </c>
      <c r="H125" s="11">
        <v>2.0</v>
      </c>
    </row>
    <row r="126" spans="8:8" ht="23.85">
      <c r="A126" s="2">
        <v>1544.0</v>
      </c>
      <c r="B126" s="7" t="s">
        <v>251</v>
      </c>
      <c r="C126" s="12" t="s">
        <v>18</v>
      </c>
      <c r="D126" s="8" t="s">
        <v>384</v>
      </c>
      <c r="E126" s="8" t="s">
        <v>89</v>
      </c>
      <c r="F126" s="8" t="s">
        <v>69</v>
      </c>
      <c r="G126" s="9" t="s">
        <v>385</v>
      </c>
      <c r="H126" s="13">
        <v>4.0</v>
      </c>
    </row>
    <row r="127" spans="8:8" ht="15.0">
      <c r="A127" s="2">
        <v>1546.0</v>
      </c>
      <c r="B127" s="7" t="s">
        <v>251</v>
      </c>
      <c r="C127" s="12" t="s">
        <v>18</v>
      </c>
      <c r="D127" s="8" t="s">
        <v>386</v>
      </c>
      <c r="E127" s="8" t="s">
        <v>89</v>
      </c>
      <c r="F127" s="8" t="s">
        <v>69</v>
      </c>
      <c r="G127" s="9" t="s">
        <v>387</v>
      </c>
      <c r="H127" s="13">
        <v>4.0</v>
      </c>
    </row>
    <row r="128" spans="8:8" ht="23.85">
      <c r="A128" s="2">
        <v>1549.0</v>
      </c>
      <c r="B128" s="7" t="s">
        <v>251</v>
      </c>
      <c r="C128" s="12" t="s">
        <v>18</v>
      </c>
      <c r="D128" s="8" t="s">
        <v>388</v>
      </c>
      <c r="E128" s="8" t="s">
        <v>389</v>
      </c>
      <c r="F128" s="8" t="s">
        <v>69</v>
      </c>
      <c r="G128" s="9" t="s">
        <v>390</v>
      </c>
      <c r="H128" s="13">
        <v>4.0</v>
      </c>
    </row>
    <row r="129" spans="8:8" ht="23.85">
      <c r="A129" s="2">
        <v>1551.0</v>
      </c>
      <c r="B129" s="7" t="s">
        <v>251</v>
      </c>
      <c r="C129" s="12" t="s">
        <v>18</v>
      </c>
      <c r="D129" s="8" t="s">
        <v>391</v>
      </c>
      <c r="E129" s="8" t="s">
        <v>392</v>
      </c>
      <c r="F129" s="8" t="s">
        <v>69</v>
      </c>
      <c r="G129" s="9" t="s">
        <v>393</v>
      </c>
      <c r="H129" s="13">
        <v>4.0</v>
      </c>
    </row>
    <row r="130" spans="8:8" ht="15.0">
      <c r="A130" s="2">
        <v>1552.0</v>
      </c>
      <c r="B130" s="7" t="s">
        <v>251</v>
      </c>
      <c r="C130" s="7" t="s">
        <v>18</v>
      </c>
      <c r="D130" s="8" t="s">
        <v>394</v>
      </c>
      <c r="E130" s="8" t="s">
        <v>268</v>
      </c>
      <c r="F130" s="8" t="s">
        <v>395</v>
      </c>
      <c r="G130" s="9" t="s">
        <v>396</v>
      </c>
      <c r="H130" s="10">
        <v>3.0</v>
      </c>
    </row>
    <row r="131" spans="8:8" ht="23.85">
      <c r="A131" s="2">
        <v>1557.0</v>
      </c>
      <c r="B131" s="7" t="s">
        <v>251</v>
      </c>
      <c r="C131" s="12" t="s">
        <v>18</v>
      </c>
      <c r="D131" s="8" t="s">
        <v>397</v>
      </c>
      <c r="E131" s="8" t="s">
        <v>60</v>
      </c>
      <c r="F131" s="8" t="s">
        <v>398</v>
      </c>
      <c r="G131" s="9" t="s">
        <v>399</v>
      </c>
      <c r="H131" s="15">
        <v>5.0</v>
      </c>
    </row>
    <row r="132" spans="8:8" ht="23.85">
      <c r="A132" s="2">
        <v>1558.0</v>
      </c>
      <c r="B132" s="7" t="s">
        <v>251</v>
      </c>
      <c r="C132" s="12" t="s">
        <v>18</v>
      </c>
      <c r="D132" s="8" t="s">
        <v>400</v>
      </c>
      <c r="E132" s="8" t="s">
        <v>285</v>
      </c>
      <c r="F132" s="8" t="s">
        <v>401</v>
      </c>
      <c r="G132" s="9" t="s">
        <v>402</v>
      </c>
      <c r="H132" s="13">
        <v>4.0</v>
      </c>
    </row>
    <row r="133" spans="8:8" ht="23.85">
      <c r="A133" s="2">
        <v>1560.0</v>
      </c>
      <c r="B133" s="7" t="s">
        <v>251</v>
      </c>
      <c r="C133" s="7" t="s">
        <v>18</v>
      </c>
      <c r="D133" s="8" t="s">
        <v>403</v>
      </c>
      <c r="E133" s="8" t="s">
        <v>125</v>
      </c>
      <c r="F133" s="8" t="s">
        <v>69</v>
      </c>
      <c r="G133" s="9" t="s">
        <v>404</v>
      </c>
      <c r="H133" s="14">
        <v>1.0</v>
      </c>
    </row>
    <row r="134" spans="8:8" ht="15.0">
      <c r="A134" s="2">
        <v>1566.0</v>
      </c>
      <c r="B134" s="7" t="s">
        <v>251</v>
      </c>
      <c r="C134" s="7" t="s">
        <v>18</v>
      </c>
      <c r="D134" s="8" t="s">
        <v>405</v>
      </c>
      <c r="E134" s="8" t="s">
        <v>406</v>
      </c>
      <c r="F134" s="8" t="s">
        <v>407</v>
      </c>
      <c r="G134" s="9" t="s">
        <v>408</v>
      </c>
      <c r="H134" s="10">
        <v>3.0</v>
      </c>
    </row>
    <row r="135" spans="8:8" ht="23.85">
      <c r="A135" s="2">
        <v>1568.0</v>
      </c>
      <c r="B135" s="7" t="s">
        <v>251</v>
      </c>
      <c r="C135" s="7" t="s">
        <v>18</v>
      </c>
      <c r="D135" s="8" t="s">
        <v>409</v>
      </c>
      <c r="E135" s="8" t="s">
        <v>27</v>
      </c>
      <c r="F135" s="8" t="s">
        <v>410</v>
      </c>
      <c r="G135" s="9" t="s">
        <v>411</v>
      </c>
      <c r="H135" s="10">
        <v>3.0</v>
      </c>
    </row>
    <row r="136" spans="8:8" ht="23.85">
      <c r="A136" s="2">
        <v>1575.0</v>
      </c>
      <c r="B136" s="7" t="s">
        <v>251</v>
      </c>
      <c r="C136" s="12" t="s">
        <v>18</v>
      </c>
      <c r="D136" s="8" t="s">
        <v>412</v>
      </c>
      <c r="E136" s="8" t="s">
        <v>60</v>
      </c>
      <c r="F136" s="8" t="s">
        <v>413</v>
      </c>
      <c r="G136" s="9" t="s">
        <v>414</v>
      </c>
      <c r="H136" s="13">
        <v>4.0</v>
      </c>
    </row>
    <row r="137" spans="8:8" ht="23.85">
      <c r="A137" s="2">
        <v>1576.0</v>
      </c>
      <c r="B137" s="7" t="s">
        <v>251</v>
      </c>
      <c r="C137" s="12" t="s">
        <v>18</v>
      </c>
      <c r="D137" s="8" t="s">
        <v>415</v>
      </c>
      <c r="E137" s="8" t="s">
        <v>416</v>
      </c>
      <c r="F137" s="8" t="s">
        <v>417</v>
      </c>
      <c r="G137" s="9" t="s">
        <v>418</v>
      </c>
      <c r="H137" s="15">
        <v>5.0</v>
      </c>
    </row>
    <row r="138" spans="8:8" ht="15.0">
      <c r="A138" s="2">
        <v>1584.0</v>
      </c>
      <c r="B138" s="7" t="s">
        <v>251</v>
      </c>
      <c r="C138" s="7" t="s">
        <v>18</v>
      </c>
      <c r="D138" s="8" t="s">
        <v>419</v>
      </c>
      <c r="E138" s="8" t="s">
        <v>84</v>
      </c>
      <c r="F138" s="8" t="s">
        <v>204</v>
      </c>
      <c r="G138" s="9" t="s">
        <v>420</v>
      </c>
      <c r="H138" s="10">
        <v>3.0</v>
      </c>
    </row>
    <row r="139" spans="8:8" ht="23.85">
      <c r="A139" s="2">
        <v>1585.0</v>
      </c>
      <c r="B139" s="7" t="s">
        <v>251</v>
      </c>
      <c r="C139" s="12" t="s">
        <v>18</v>
      </c>
      <c r="D139" s="8" t="s">
        <v>421</v>
      </c>
      <c r="E139" s="8" t="s">
        <v>248</v>
      </c>
      <c r="F139" s="8" t="s">
        <v>407</v>
      </c>
      <c r="G139" s="9" t="s">
        <v>422</v>
      </c>
      <c r="H139" s="13">
        <v>4.0</v>
      </c>
    </row>
    <row r="140" spans="8:8" ht="15.0">
      <c r="A140" s="2">
        <v>1590.0</v>
      </c>
      <c r="B140" s="7" t="s">
        <v>251</v>
      </c>
      <c r="C140" s="7" t="s">
        <v>18</v>
      </c>
      <c r="D140" s="8" t="s">
        <v>423</v>
      </c>
      <c r="E140" s="8" t="s">
        <v>93</v>
      </c>
      <c r="F140" s="8" t="s">
        <v>424</v>
      </c>
      <c r="G140" s="9" t="s">
        <v>425</v>
      </c>
      <c r="H140" s="11">
        <v>2.0</v>
      </c>
    </row>
    <row r="141" spans="8:8" ht="15.0">
      <c r="A141" s="2">
        <v>1596.0</v>
      </c>
      <c r="B141" s="7" t="s">
        <v>251</v>
      </c>
      <c r="C141" s="12" t="s">
        <v>18</v>
      </c>
      <c r="D141" s="8" t="s">
        <v>426</v>
      </c>
      <c r="E141" s="8" t="s">
        <v>60</v>
      </c>
      <c r="F141" s="8" t="s">
        <v>357</v>
      </c>
      <c r="G141" s="9" t="s">
        <v>427</v>
      </c>
      <c r="H141" s="13">
        <v>4.0</v>
      </c>
    </row>
    <row r="142" spans="8:8" ht="23.85">
      <c r="A142" s="2">
        <v>1597.0</v>
      </c>
      <c r="B142" s="7" t="s">
        <v>251</v>
      </c>
      <c r="C142" s="7" t="s">
        <v>18</v>
      </c>
      <c r="D142" s="8" t="s">
        <v>428</v>
      </c>
      <c r="E142" s="8" t="s">
        <v>429</v>
      </c>
      <c r="F142" s="8" t="s">
        <v>413</v>
      </c>
      <c r="G142" s="9" t="s">
        <v>430</v>
      </c>
      <c r="H142" s="10">
        <v>3.0</v>
      </c>
    </row>
    <row r="143" spans="8:8" ht="23.85">
      <c r="A143" s="2">
        <v>1609.0</v>
      </c>
      <c r="B143" s="7" t="s">
        <v>431</v>
      </c>
      <c r="C143" s="7" t="s">
        <v>18</v>
      </c>
      <c r="D143" s="8" t="s">
        <v>432</v>
      </c>
      <c r="E143" s="8" t="s">
        <v>433</v>
      </c>
      <c r="F143" s="8" t="s">
        <v>434</v>
      </c>
      <c r="G143" s="9" t="s">
        <v>435</v>
      </c>
      <c r="H143" s="11">
        <v>2.0</v>
      </c>
    </row>
    <row r="144" spans="8:8" ht="15.0">
      <c r="A144" s="2">
        <v>1618.0</v>
      </c>
      <c r="B144" s="7" t="s">
        <v>431</v>
      </c>
      <c r="C144" s="12" t="s">
        <v>18</v>
      </c>
      <c r="D144" s="8" t="s">
        <v>436</v>
      </c>
      <c r="E144" s="8" t="s">
        <v>89</v>
      </c>
      <c r="F144" s="8" t="s">
        <v>370</v>
      </c>
      <c r="G144" s="9" t="s">
        <v>437</v>
      </c>
      <c r="H144" s="13">
        <v>4.0</v>
      </c>
    </row>
    <row r="145" spans="8:8" ht="15.0">
      <c r="A145" s="2">
        <v>1619.0</v>
      </c>
      <c r="B145" s="7" t="s">
        <v>431</v>
      </c>
      <c r="C145" s="7" t="s">
        <v>18</v>
      </c>
      <c r="D145" s="8" t="s">
        <v>438</v>
      </c>
      <c r="E145" s="8" t="s">
        <v>89</v>
      </c>
      <c r="F145" s="8" t="s">
        <v>439</v>
      </c>
      <c r="G145" s="9" t="s">
        <v>440</v>
      </c>
      <c r="H145" s="10">
        <v>3.0</v>
      </c>
    </row>
    <row r="146" spans="8:8" ht="15.0">
      <c r="A146" s="2">
        <v>1620.0</v>
      </c>
      <c r="B146" s="7" t="s">
        <v>431</v>
      </c>
      <c r="C146" s="12" t="s">
        <v>18</v>
      </c>
      <c r="D146" s="8" t="s">
        <v>441</v>
      </c>
      <c r="E146" s="8" t="s">
        <v>89</v>
      </c>
      <c r="F146" s="8" t="s">
        <v>370</v>
      </c>
      <c r="G146" s="9" t="s">
        <v>442</v>
      </c>
      <c r="H146" s="13">
        <v>4.0</v>
      </c>
    </row>
    <row r="147" spans="8:8" ht="15.0">
      <c r="A147" s="2">
        <v>1621.0</v>
      </c>
      <c r="B147" s="7" t="s">
        <v>431</v>
      </c>
      <c r="C147" s="12" t="s">
        <v>18</v>
      </c>
      <c r="D147" s="8" t="s">
        <v>443</v>
      </c>
      <c r="E147" s="8" t="s">
        <v>444</v>
      </c>
      <c r="F147" s="8" t="s">
        <v>370</v>
      </c>
      <c r="G147" s="9" t="s">
        <v>445</v>
      </c>
      <c r="H147" s="13">
        <v>4.0</v>
      </c>
    </row>
    <row r="148" spans="8:8" ht="15.0">
      <c r="A148" s="2">
        <v>1622.0</v>
      </c>
      <c r="B148" s="7" t="s">
        <v>431</v>
      </c>
      <c r="C148" s="12" t="s">
        <v>18</v>
      </c>
      <c r="D148" s="8" t="s">
        <v>446</v>
      </c>
      <c r="E148" s="8" t="s">
        <v>444</v>
      </c>
      <c r="F148" s="8" t="s">
        <v>370</v>
      </c>
      <c r="G148" s="9" t="s">
        <v>447</v>
      </c>
      <c r="H148" s="13">
        <v>4.0</v>
      </c>
    </row>
    <row r="149" spans="8:8" ht="15.0">
      <c r="A149" s="2">
        <v>1623.0</v>
      </c>
      <c r="B149" s="7" t="s">
        <v>431</v>
      </c>
      <c r="C149" s="7" t="s">
        <v>18</v>
      </c>
      <c r="D149" s="8" t="s">
        <v>448</v>
      </c>
      <c r="E149" s="8" t="s">
        <v>125</v>
      </c>
      <c r="F149" s="8" t="s">
        <v>370</v>
      </c>
      <c r="G149" s="9" t="s">
        <v>449</v>
      </c>
      <c r="H149" s="10">
        <v>3.0</v>
      </c>
    </row>
    <row r="150" spans="8:8" ht="15.0">
      <c r="A150" s="2">
        <v>1636.0</v>
      </c>
      <c r="B150" s="7" t="s">
        <v>431</v>
      </c>
      <c r="C150" s="7" t="s">
        <v>18</v>
      </c>
      <c r="D150" s="8" t="s">
        <v>450</v>
      </c>
      <c r="E150" s="8" t="s">
        <v>451</v>
      </c>
      <c r="F150" s="8" t="s">
        <v>434</v>
      </c>
      <c r="G150" s="9" t="s">
        <v>452</v>
      </c>
      <c r="H150" s="10">
        <v>3.0</v>
      </c>
    </row>
    <row r="151" spans="8:8" ht="23.85">
      <c r="A151" s="2">
        <v>1637.0</v>
      </c>
      <c r="B151" s="7" t="s">
        <v>431</v>
      </c>
      <c r="C151" s="7" t="s">
        <v>18</v>
      </c>
      <c r="D151" s="8" t="s">
        <v>453</v>
      </c>
      <c r="E151" s="8" t="s">
        <v>454</v>
      </c>
      <c r="F151" s="8" t="s">
        <v>434</v>
      </c>
      <c r="G151" s="9" t="s">
        <v>455</v>
      </c>
      <c r="H151" s="10">
        <v>3.0</v>
      </c>
    </row>
    <row r="152" spans="8:8" ht="23.85">
      <c r="A152" s="2">
        <v>1640.0</v>
      </c>
      <c r="B152" s="7" t="s">
        <v>431</v>
      </c>
      <c r="C152" s="7" t="s">
        <v>18</v>
      </c>
      <c r="D152" s="8" t="s">
        <v>456</v>
      </c>
      <c r="E152" s="8" t="s">
        <v>27</v>
      </c>
      <c r="F152" s="8" t="s">
        <v>69</v>
      </c>
      <c r="G152" s="9" t="s">
        <v>457</v>
      </c>
      <c r="H152" s="11">
        <v>2.0</v>
      </c>
    </row>
    <row r="153" spans="8:8" ht="15.0">
      <c r="A153" s="2">
        <v>1667.0</v>
      </c>
      <c r="B153" s="7" t="s">
        <v>431</v>
      </c>
      <c r="C153" s="7" t="s">
        <v>18</v>
      </c>
      <c r="D153" s="8" t="s">
        <v>458</v>
      </c>
      <c r="E153" s="8" t="s">
        <v>459</v>
      </c>
      <c r="F153" s="8" t="s">
        <v>69</v>
      </c>
      <c r="G153" s="9" t="s">
        <v>460</v>
      </c>
      <c r="H153" s="11">
        <v>2.0</v>
      </c>
    </row>
    <row r="154" spans="8:8" ht="23.85">
      <c r="A154" s="2">
        <v>1672.0</v>
      </c>
      <c r="B154" s="7" t="s">
        <v>431</v>
      </c>
      <c r="C154" s="12" t="s">
        <v>18</v>
      </c>
      <c r="D154" s="8" t="s">
        <v>461</v>
      </c>
      <c r="E154" s="8" t="s">
        <v>60</v>
      </c>
      <c r="F154" s="8" t="s">
        <v>462</v>
      </c>
      <c r="G154" s="9" t="s">
        <v>463</v>
      </c>
      <c r="H154" s="13">
        <v>4.0</v>
      </c>
    </row>
    <row r="155" spans="8:8" ht="15.0">
      <c r="A155" s="2">
        <v>1695.0</v>
      </c>
      <c r="B155" s="7" t="s">
        <v>431</v>
      </c>
      <c r="C155" s="7" t="s">
        <v>18</v>
      </c>
      <c r="D155" s="8" t="s">
        <v>464</v>
      </c>
      <c r="E155" s="8" t="s">
        <v>451</v>
      </c>
      <c r="F155" s="8" t="s">
        <v>69</v>
      </c>
      <c r="G155" s="9" t="s">
        <v>465</v>
      </c>
      <c r="H155" s="11">
        <v>2.0</v>
      </c>
    </row>
    <row r="156" spans="8:8" ht="23.85">
      <c r="A156" s="2">
        <v>1696.0</v>
      </c>
      <c r="B156" s="7" t="s">
        <v>431</v>
      </c>
      <c r="C156" s="7" t="s">
        <v>18</v>
      </c>
      <c r="D156" s="8" t="s">
        <v>466</v>
      </c>
      <c r="E156" s="8" t="s">
        <v>467</v>
      </c>
      <c r="F156" s="8" t="s">
        <v>69</v>
      </c>
      <c r="G156" s="9" t="s">
        <v>468</v>
      </c>
      <c r="H156" s="10">
        <v>3.0</v>
      </c>
    </row>
    <row r="157" spans="8:8" ht="15.0">
      <c r="A157" s="2">
        <v>1719.0</v>
      </c>
      <c r="B157" s="7" t="s">
        <v>431</v>
      </c>
      <c r="C157" s="12" t="s">
        <v>18</v>
      </c>
      <c r="D157" s="8" t="s">
        <v>469</v>
      </c>
      <c r="E157" s="8" t="s">
        <v>451</v>
      </c>
      <c r="F157" s="8" t="s">
        <v>214</v>
      </c>
      <c r="G157" s="9" t="s">
        <v>470</v>
      </c>
      <c r="H157" s="13">
        <v>4.0</v>
      </c>
    </row>
    <row r="158" spans="8:8" ht="23.85">
      <c r="A158" s="2">
        <v>1720.0</v>
      </c>
      <c r="B158" s="7" t="s">
        <v>431</v>
      </c>
      <c r="C158" s="12" t="s">
        <v>18</v>
      </c>
      <c r="D158" s="8" t="s">
        <v>471</v>
      </c>
      <c r="E158" s="8" t="s">
        <v>454</v>
      </c>
      <c r="F158" s="8" t="s">
        <v>472</v>
      </c>
      <c r="G158" s="9" t="s">
        <v>473</v>
      </c>
      <c r="H158" s="15">
        <v>5.0</v>
      </c>
    </row>
    <row r="159" spans="8:8" ht="23.85">
      <c r="A159" s="2">
        <v>1721.0</v>
      </c>
      <c r="B159" s="7" t="s">
        <v>474</v>
      </c>
      <c r="C159" s="7" t="s">
        <v>18</v>
      </c>
      <c r="D159" s="8" t="s">
        <v>475</v>
      </c>
      <c r="E159" s="8" t="s">
        <v>476</v>
      </c>
      <c r="F159" s="8" t="s">
        <v>477</v>
      </c>
      <c r="G159" s="9" t="s">
        <v>478</v>
      </c>
      <c r="H159" s="10">
        <v>3.0</v>
      </c>
    </row>
    <row r="160" spans="8:8" ht="15.0">
      <c r="A160" s="2">
        <v>1745.0</v>
      </c>
      <c r="B160" s="7" t="s">
        <v>474</v>
      </c>
      <c r="C160" s="7" t="s">
        <v>18</v>
      </c>
      <c r="D160" s="8" t="s">
        <v>479</v>
      </c>
      <c r="E160" s="8" t="s">
        <v>459</v>
      </c>
      <c r="F160" s="8" t="s">
        <v>477</v>
      </c>
      <c r="G160" s="9" t="s">
        <v>480</v>
      </c>
      <c r="H160" s="11">
        <v>2.0</v>
      </c>
    </row>
    <row r="161" spans="8:8" ht="23.85">
      <c r="A161" s="2">
        <v>1763.0</v>
      </c>
      <c r="B161" s="7" t="s">
        <v>474</v>
      </c>
      <c r="C161" s="12" t="s">
        <v>18</v>
      </c>
      <c r="D161" s="8" t="s">
        <v>481</v>
      </c>
      <c r="E161" s="8" t="s">
        <v>285</v>
      </c>
      <c r="F161" s="8" t="s">
        <v>482</v>
      </c>
      <c r="G161" s="9" t="s">
        <v>483</v>
      </c>
      <c r="H161" s="13">
        <v>4.0</v>
      </c>
    </row>
    <row r="162" spans="8:8" ht="23.85">
      <c r="A162" s="2">
        <v>1772.0</v>
      </c>
      <c r="B162" s="7" t="s">
        <v>474</v>
      </c>
      <c r="C162" s="12" t="s">
        <v>18</v>
      </c>
      <c r="D162" s="8" t="s">
        <v>484</v>
      </c>
      <c r="E162" s="8" t="s">
        <v>285</v>
      </c>
      <c r="F162" s="8" t="s">
        <v>485</v>
      </c>
      <c r="G162" s="9" t="s">
        <v>486</v>
      </c>
      <c r="H162" s="13">
        <v>4.0</v>
      </c>
    </row>
    <row r="163" spans="8:8" ht="15.0">
      <c r="A163" s="2">
        <v>1773.0</v>
      </c>
      <c r="B163" s="7" t="s">
        <v>474</v>
      </c>
      <c r="C163" s="7" t="s">
        <v>18</v>
      </c>
      <c r="D163" s="8" t="s">
        <v>487</v>
      </c>
      <c r="E163" s="8" t="s">
        <v>285</v>
      </c>
      <c r="F163" s="8" t="s">
        <v>477</v>
      </c>
      <c r="G163" s="9" t="s">
        <v>488</v>
      </c>
      <c r="H163" s="10">
        <v>3.0</v>
      </c>
    </row>
    <row r="164" spans="8:8" ht="15.0">
      <c r="A164" s="2">
        <v>1783.0</v>
      </c>
      <c r="B164" s="7" t="s">
        <v>474</v>
      </c>
      <c r="C164" s="7" t="s">
        <v>18</v>
      </c>
      <c r="D164" s="8" t="s">
        <v>489</v>
      </c>
      <c r="E164" s="8" t="s">
        <v>268</v>
      </c>
      <c r="F164" s="8" t="s">
        <v>490</v>
      </c>
      <c r="G164" s="9" t="s">
        <v>491</v>
      </c>
      <c r="H164" s="11">
        <v>2.0</v>
      </c>
    </row>
    <row r="165" spans="8:8" ht="15.0">
      <c r="A165" s="2">
        <v>1789.0</v>
      </c>
      <c r="B165" s="7" t="s">
        <v>474</v>
      </c>
      <c r="C165" s="7" t="s">
        <v>18</v>
      </c>
      <c r="D165" s="8" t="s">
        <v>492</v>
      </c>
      <c r="E165" s="8" t="s">
        <v>493</v>
      </c>
      <c r="F165" s="8" t="s">
        <v>214</v>
      </c>
      <c r="G165" s="9" t="s">
        <v>494</v>
      </c>
      <c r="H165" s="14">
        <v>1.0</v>
      </c>
    </row>
    <row r="166" spans="8:8" ht="23.85">
      <c r="A166" s="2">
        <v>1792.0</v>
      </c>
      <c r="B166" s="7" t="s">
        <v>474</v>
      </c>
      <c r="C166" s="7" t="s">
        <v>18</v>
      </c>
      <c r="D166" s="8" t="s">
        <v>495</v>
      </c>
      <c r="E166" s="8" t="s">
        <v>496</v>
      </c>
      <c r="F166" s="8" t="s">
        <v>497</v>
      </c>
      <c r="G166" s="9" t="s">
        <v>498</v>
      </c>
      <c r="H166" s="10">
        <v>3.0</v>
      </c>
    </row>
    <row r="167" spans="8:8" ht="15.0">
      <c r="A167" s="2">
        <v>1793.0</v>
      </c>
      <c r="B167" s="7" t="s">
        <v>474</v>
      </c>
      <c r="C167" s="7" t="s">
        <v>18</v>
      </c>
      <c r="D167" s="8" t="s">
        <v>499</v>
      </c>
      <c r="E167" s="8" t="s">
        <v>285</v>
      </c>
      <c r="F167" s="8" t="s">
        <v>477</v>
      </c>
      <c r="G167" s="9" t="s">
        <v>500</v>
      </c>
      <c r="H167" s="10">
        <v>3.0</v>
      </c>
    </row>
    <row r="168" spans="8:8" ht="15.0">
      <c r="A168" s="2">
        <v>1795.0</v>
      </c>
      <c r="B168" s="7" t="s">
        <v>474</v>
      </c>
      <c r="C168" s="12" t="s">
        <v>18</v>
      </c>
      <c r="D168" s="8" t="s">
        <v>501</v>
      </c>
      <c r="E168" s="8" t="s">
        <v>181</v>
      </c>
      <c r="F168" s="8" t="s">
        <v>214</v>
      </c>
      <c r="G168" s="9" t="s">
        <v>502</v>
      </c>
      <c r="H168" s="13">
        <v>4.0</v>
      </c>
    </row>
    <row r="169" spans="8:8" ht="15.0">
      <c r="A169" s="2">
        <v>1796.0</v>
      </c>
      <c r="B169" s="7" t="s">
        <v>474</v>
      </c>
      <c r="C169" s="7" t="s">
        <v>18</v>
      </c>
      <c r="D169" s="8" t="s">
        <v>503</v>
      </c>
      <c r="E169" s="8" t="s">
        <v>454</v>
      </c>
      <c r="F169" s="8" t="s">
        <v>504</v>
      </c>
      <c r="G169" s="9" t="s">
        <v>505</v>
      </c>
      <c r="H169" s="10">
        <v>3.0</v>
      </c>
    </row>
    <row r="170" spans="8:8" ht="15.0">
      <c r="A170" s="2">
        <v>1797.0</v>
      </c>
      <c r="B170" s="7" t="s">
        <v>474</v>
      </c>
      <c r="C170" s="7" t="s">
        <v>18</v>
      </c>
      <c r="D170" s="8" t="s">
        <v>506</v>
      </c>
      <c r="E170" s="8" t="s">
        <v>285</v>
      </c>
      <c r="F170" s="8" t="s">
        <v>490</v>
      </c>
      <c r="G170" s="9" t="s">
        <v>507</v>
      </c>
      <c r="H170" s="10">
        <v>3.0</v>
      </c>
    </row>
    <row r="171" spans="8:8" ht="15.0">
      <c r="A171" s="2">
        <v>1799.0</v>
      </c>
      <c r="B171" s="7" t="s">
        <v>474</v>
      </c>
      <c r="C171" s="7" t="s">
        <v>18</v>
      </c>
      <c r="D171" s="8" t="s">
        <v>508</v>
      </c>
      <c r="E171" s="8" t="s">
        <v>285</v>
      </c>
      <c r="F171" s="8" t="s">
        <v>509</v>
      </c>
      <c r="G171" s="9" t="s">
        <v>510</v>
      </c>
      <c r="H171" s="10">
        <v>3.0</v>
      </c>
    </row>
    <row r="172" spans="8:8" ht="15.0">
      <c r="A172" s="2">
        <v>1810.0</v>
      </c>
      <c r="B172" s="7" t="s">
        <v>474</v>
      </c>
      <c r="C172" s="7" t="s">
        <v>18</v>
      </c>
      <c r="D172" s="8" t="s">
        <v>511</v>
      </c>
      <c r="E172" s="8" t="s">
        <v>268</v>
      </c>
      <c r="F172" s="8" t="s">
        <v>512</v>
      </c>
      <c r="G172" s="9" t="s">
        <v>513</v>
      </c>
      <c r="H172" s="10">
        <v>3.0</v>
      </c>
    </row>
    <row r="173" spans="8:8" ht="15.0">
      <c r="A173" s="2">
        <v>1814.0</v>
      </c>
      <c r="B173" s="7" t="s">
        <v>474</v>
      </c>
      <c r="C173" s="7" t="s">
        <v>18</v>
      </c>
      <c r="D173" s="8" t="s">
        <v>514</v>
      </c>
      <c r="E173" s="8" t="s">
        <v>285</v>
      </c>
      <c r="F173" s="8" t="s">
        <v>497</v>
      </c>
      <c r="G173" s="9" t="s">
        <v>515</v>
      </c>
      <c r="H173" s="11">
        <v>2.0</v>
      </c>
    </row>
    <row r="174" spans="8:8" ht="15.0">
      <c r="A174" s="2">
        <v>1816.0</v>
      </c>
      <c r="B174" s="7" t="s">
        <v>474</v>
      </c>
      <c r="C174" s="7" t="s">
        <v>18</v>
      </c>
      <c r="D174" s="8" t="s">
        <v>516</v>
      </c>
      <c r="E174" s="8" t="s">
        <v>517</v>
      </c>
      <c r="F174" s="8" t="s">
        <v>518</v>
      </c>
      <c r="G174" s="9" t="s">
        <v>519</v>
      </c>
      <c r="H174" s="11">
        <v>2.0</v>
      </c>
    </row>
    <row r="175" spans="8:8" ht="23.85">
      <c r="A175" s="2">
        <v>1819.0</v>
      </c>
      <c r="B175" s="7" t="s">
        <v>474</v>
      </c>
      <c r="C175" s="12" t="s">
        <v>18</v>
      </c>
      <c r="D175" s="8" t="s">
        <v>520</v>
      </c>
      <c r="E175" s="8" t="s">
        <v>521</v>
      </c>
      <c r="F175" s="8" t="s">
        <v>497</v>
      </c>
      <c r="G175" s="9" t="s">
        <v>522</v>
      </c>
      <c r="H175" s="13">
        <v>4.0</v>
      </c>
    </row>
    <row r="176" spans="8:8" ht="15.0">
      <c r="A176" s="2">
        <v>1822.0</v>
      </c>
      <c r="B176" s="7" t="s">
        <v>474</v>
      </c>
      <c r="C176" s="7" t="s">
        <v>18</v>
      </c>
      <c r="D176" s="8" t="s">
        <v>523</v>
      </c>
      <c r="E176" s="8" t="s">
        <v>524</v>
      </c>
      <c r="F176" s="8" t="s">
        <v>477</v>
      </c>
      <c r="G176" s="9" t="s">
        <v>525</v>
      </c>
      <c r="H176" s="11">
        <v>2.0</v>
      </c>
    </row>
    <row r="177" spans="8:8" ht="15.0">
      <c r="A177" s="2">
        <v>1823.0</v>
      </c>
      <c r="B177" s="7" t="s">
        <v>474</v>
      </c>
      <c r="C177" s="7" t="s">
        <v>18</v>
      </c>
      <c r="D177" s="8" t="s">
        <v>526</v>
      </c>
      <c r="E177" s="8" t="s">
        <v>524</v>
      </c>
      <c r="F177" s="8" t="s">
        <v>527</v>
      </c>
      <c r="G177" s="9" t="s">
        <v>528</v>
      </c>
      <c r="H177" s="11">
        <v>2.0</v>
      </c>
    </row>
    <row r="178" spans="8:8" ht="15.0">
      <c r="A178" s="2">
        <v>1824.0</v>
      </c>
      <c r="B178" s="7" t="s">
        <v>474</v>
      </c>
      <c r="C178" s="7" t="s">
        <v>18</v>
      </c>
      <c r="D178" s="8" t="s">
        <v>529</v>
      </c>
      <c r="E178" s="8" t="s">
        <v>451</v>
      </c>
      <c r="F178" s="8" t="s">
        <v>477</v>
      </c>
      <c r="G178" s="9" t="s">
        <v>530</v>
      </c>
      <c r="H178" s="10">
        <v>3.0</v>
      </c>
    </row>
    <row r="179" spans="8:8" ht="23.85">
      <c r="A179" s="2">
        <v>1825.0</v>
      </c>
      <c r="B179" s="7" t="s">
        <v>474</v>
      </c>
      <c r="C179" s="12" t="s">
        <v>18</v>
      </c>
      <c r="D179" s="8" t="s">
        <v>531</v>
      </c>
      <c r="E179" s="8" t="s">
        <v>532</v>
      </c>
      <c r="F179" s="8" t="s">
        <v>533</v>
      </c>
      <c r="G179" s="9" t="s">
        <v>534</v>
      </c>
      <c r="H179" s="15">
        <v>5.0</v>
      </c>
    </row>
    <row r="180" spans="8:8" ht="15.0">
      <c r="A180" s="2">
        <v>1832.0</v>
      </c>
      <c r="B180" s="7" t="s">
        <v>474</v>
      </c>
      <c r="C180" s="7" t="s">
        <v>18</v>
      </c>
      <c r="D180" s="8" t="s">
        <v>535</v>
      </c>
      <c r="E180" s="8" t="s">
        <v>536</v>
      </c>
      <c r="F180" s="8" t="s">
        <v>497</v>
      </c>
      <c r="G180" s="9" t="s">
        <v>537</v>
      </c>
      <c r="H180" s="11">
        <v>2.0</v>
      </c>
    </row>
    <row r="181" spans="8:8" ht="15.0">
      <c r="A181" s="2">
        <v>1836.0</v>
      </c>
      <c r="B181" s="7" t="s">
        <v>474</v>
      </c>
      <c r="C181" s="7" t="s">
        <v>18</v>
      </c>
      <c r="D181" s="8" t="s">
        <v>538</v>
      </c>
      <c r="E181" s="8" t="s">
        <v>451</v>
      </c>
      <c r="F181" s="8" t="s">
        <v>497</v>
      </c>
      <c r="G181" s="9" t="s">
        <v>539</v>
      </c>
      <c r="H181" s="10">
        <v>3.0</v>
      </c>
    </row>
    <row r="182" spans="8:8" ht="23.85">
      <c r="A182" s="2">
        <v>1837.0</v>
      </c>
      <c r="B182" s="7" t="s">
        <v>474</v>
      </c>
      <c r="C182" s="12" t="s">
        <v>18</v>
      </c>
      <c r="D182" s="8" t="s">
        <v>540</v>
      </c>
      <c r="E182" s="8" t="s">
        <v>521</v>
      </c>
      <c r="F182" s="8" t="s">
        <v>504</v>
      </c>
      <c r="G182" s="9" t="s">
        <v>541</v>
      </c>
      <c r="H182" s="15">
        <v>5.0</v>
      </c>
    </row>
    <row r="183" spans="8:8" ht="15.0">
      <c r="A183" s="2">
        <v>1839.0</v>
      </c>
      <c r="B183" s="7" t="s">
        <v>474</v>
      </c>
      <c r="C183" s="12" t="s">
        <v>18</v>
      </c>
      <c r="D183" s="8" t="s">
        <v>542</v>
      </c>
      <c r="E183" s="8" t="s">
        <v>60</v>
      </c>
      <c r="F183" s="8" t="s">
        <v>497</v>
      </c>
      <c r="G183" s="9" t="s">
        <v>543</v>
      </c>
      <c r="H183" s="13">
        <v>4.0</v>
      </c>
    </row>
    <row r="184" spans="8:8" ht="15.0">
      <c r="A184" s="2">
        <v>1841.0</v>
      </c>
      <c r="B184" s="7" t="s">
        <v>474</v>
      </c>
      <c r="C184" s="7" t="s">
        <v>18</v>
      </c>
      <c r="D184" s="8" t="s">
        <v>544</v>
      </c>
      <c r="E184" s="8" t="s">
        <v>60</v>
      </c>
      <c r="F184" s="8" t="s">
        <v>497</v>
      </c>
      <c r="G184" s="9" t="s">
        <v>545</v>
      </c>
      <c r="H184" s="10">
        <v>3.0</v>
      </c>
    </row>
    <row r="185" spans="8:8" ht="23.85">
      <c r="A185" s="2">
        <v>1845.0</v>
      </c>
      <c r="B185" s="7" t="s">
        <v>474</v>
      </c>
      <c r="C185" s="12" t="s">
        <v>18</v>
      </c>
      <c r="D185" s="8" t="s">
        <v>546</v>
      </c>
      <c r="E185" s="8" t="s">
        <v>451</v>
      </c>
      <c r="F185" s="8" t="s">
        <v>477</v>
      </c>
      <c r="G185" s="9" t="s">
        <v>547</v>
      </c>
      <c r="H185" s="13">
        <v>4.0</v>
      </c>
    </row>
    <row r="186" spans="8:8" ht="15.0">
      <c r="A186" s="2">
        <v>1846.0</v>
      </c>
      <c r="B186" s="7" t="s">
        <v>474</v>
      </c>
      <c r="C186" s="12" t="s">
        <v>18</v>
      </c>
      <c r="D186" s="8" t="s">
        <v>548</v>
      </c>
      <c r="E186" s="8" t="s">
        <v>454</v>
      </c>
      <c r="F186" s="8" t="s">
        <v>477</v>
      </c>
      <c r="G186" s="9" t="s">
        <v>549</v>
      </c>
      <c r="H186" s="13">
        <v>4.0</v>
      </c>
    </row>
    <row r="187" spans="8:8" ht="23.85">
      <c r="A187" s="2">
        <v>1847.0</v>
      </c>
      <c r="B187" s="7" t="s">
        <v>474</v>
      </c>
      <c r="C187" s="12" t="s">
        <v>18</v>
      </c>
      <c r="D187" s="8" t="s">
        <v>550</v>
      </c>
      <c r="E187" s="8" t="s">
        <v>285</v>
      </c>
      <c r="F187" s="8" t="s">
        <v>518</v>
      </c>
      <c r="G187" s="9" t="s">
        <v>551</v>
      </c>
      <c r="H187" s="13">
        <v>4.0</v>
      </c>
    </row>
    <row r="188" spans="8:8" ht="15.0">
      <c r="A188" s="2">
        <v>1848.0</v>
      </c>
      <c r="B188" s="7" t="s">
        <v>474</v>
      </c>
      <c r="C188" s="7" t="s">
        <v>18</v>
      </c>
      <c r="D188" s="8" t="s">
        <v>552</v>
      </c>
      <c r="E188" s="8" t="s">
        <v>553</v>
      </c>
      <c r="F188" s="8" t="s">
        <v>94</v>
      </c>
      <c r="G188" s="9" t="s">
        <v>554</v>
      </c>
      <c r="H188" s="11">
        <v>2.0</v>
      </c>
    </row>
    <row r="189" spans="8:8" ht="23.85">
      <c r="A189" s="2">
        <v>1849.0</v>
      </c>
      <c r="B189" s="7" t="s">
        <v>474</v>
      </c>
      <c r="C189" s="7" t="s">
        <v>18</v>
      </c>
      <c r="D189" s="8" t="s">
        <v>555</v>
      </c>
      <c r="E189" s="8" t="s">
        <v>556</v>
      </c>
      <c r="F189" s="8" t="s">
        <v>477</v>
      </c>
      <c r="G189" s="9" t="s">
        <v>557</v>
      </c>
      <c r="H189" s="10">
        <v>3.0</v>
      </c>
    </row>
    <row r="190" spans="8:8" ht="15.0">
      <c r="A190" s="2">
        <v>1856.0</v>
      </c>
      <c r="B190" s="7" t="s">
        <v>474</v>
      </c>
      <c r="C190" s="7" t="s">
        <v>18</v>
      </c>
      <c r="D190" s="8" t="s">
        <v>558</v>
      </c>
      <c r="E190" s="8" t="s">
        <v>559</v>
      </c>
      <c r="F190" s="8" t="s">
        <v>477</v>
      </c>
      <c r="G190" s="9" t="s">
        <v>560</v>
      </c>
      <c r="H190" s="11">
        <v>2.0</v>
      </c>
    </row>
    <row r="191" spans="8:8" ht="23.85">
      <c r="A191" s="2">
        <v>1857.0</v>
      </c>
      <c r="B191" s="7" t="s">
        <v>474</v>
      </c>
      <c r="C191" s="12" t="s">
        <v>18</v>
      </c>
      <c r="D191" s="8" t="s">
        <v>561</v>
      </c>
      <c r="E191" s="8" t="s">
        <v>285</v>
      </c>
      <c r="F191" s="8" t="s">
        <v>562</v>
      </c>
      <c r="G191" s="9" t="s">
        <v>563</v>
      </c>
      <c r="H191" s="15">
        <v>5.0</v>
      </c>
    </row>
    <row r="192" spans="8:8" ht="15.0">
      <c r="A192" s="2">
        <v>1861.0</v>
      </c>
      <c r="B192" s="7" t="s">
        <v>474</v>
      </c>
      <c r="C192" s="7" t="s">
        <v>18</v>
      </c>
      <c r="D192" s="8" t="s">
        <v>564</v>
      </c>
      <c r="E192" s="8" t="s">
        <v>152</v>
      </c>
      <c r="F192" s="8" t="s">
        <v>497</v>
      </c>
      <c r="G192" s="9" t="s">
        <v>565</v>
      </c>
      <c r="H192" s="10">
        <v>3.0</v>
      </c>
    </row>
    <row r="193" spans="8:8" ht="23.85">
      <c r="A193" s="2">
        <v>1863.0</v>
      </c>
      <c r="B193" s="7" t="s">
        <v>474</v>
      </c>
      <c r="C193" s="7" t="s">
        <v>18</v>
      </c>
      <c r="D193" s="8" t="s">
        <v>566</v>
      </c>
      <c r="E193" s="8" t="s">
        <v>451</v>
      </c>
      <c r="F193" s="8" t="s">
        <v>567</v>
      </c>
      <c r="G193" s="9" t="s">
        <v>568</v>
      </c>
      <c r="H193" s="10">
        <v>3.0</v>
      </c>
    </row>
    <row r="194" spans="8:8" ht="15.0">
      <c r="A194" s="2">
        <v>1864.0</v>
      </c>
      <c r="B194" s="7" t="s">
        <v>474</v>
      </c>
      <c r="C194" s="7" t="s">
        <v>18</v>
      </c>
      <c r="D194" s="8" t="s">
        <v>569</v>
      </c>
      <c r="E194" s="8" t="s">
        <v>451</v>
      </c>
      <c r="F194" s="8" t="s">
        <v>570</v>
      </c>
      <c r="G194" s="9" t="s">
        <v>571</v>
      </c>
      <c r="H194" s="10">
        <v>3.0</v>
      </c>
    </row>
    <row r="195" spans="8:8" ht="23.85">
      <c r="A195" s="2">
        <v>1865.0</v>
      </c>
      <c r="B195" s="7" t="s">
        <v>474</v>
      </c>
      <c r="C195" s="12" t="s">
        <v>18</v>
      </c>
      <c r="D195" s="8" t="s">
        <v>572</v>
      </c>
      <c r="E195" s="8" t="s">
        <v>454</v>
      </c>
      <c r="F195" s="8" t="s">
        <v>567</v>
      </c>
      <c r="G195" s="9" t="s">
        <v>573</v>
      </c>
      <c r="H195" s="13">
        <v>4.0</v>
      </c>
    </row>
    <row r="196" spans="8:8" ht="23.85">
      <c r="A196" s="2">
        <v>1866.0</v>
      </c>
      <c r="B196" s="7" t="s">
        <v>474</v>
      </c>
      <c r="C196" s="12" t="s">
        <v>18</v>
      </c>
      <c r="D196" s="8" t="s">
        <v>574</v>
      </c>
      <c r="E196" s="8" t="s">
        <v>285</v>
      </c>
      <c r="F196" s="8" t="s">
        <v>477</v>
      </c>
      <c r="G196" s="9" t="s">
        <v>575</v>
      </c>
      <c r="H196" s="15">
        <v>5.0</v>
      </c>
    </row>
    <row r="197" spans="8:8" ht="23.85">
      <c r="A197" s="2">
        <v>1868.0</v>
      </c>
      <c r="B197" s="7" t="s">
        <v>474</v>
      </c>
      <c r="C197" s="7" t="s">
        <v>18</v>
      </c>
      <c r="D197" s="8" t="s">
        <v>576</v>
      </c>
      <c r="E197" s="8" t="s">
        <v>577</v>
      </c>
      <c r="F197" s="8" t="s">
        <v>497</v>
      </c>
      <c r="G197" s="9" t="s">
        <v>578</v>
      </c>
      <c r="H197" s="11">
        <v>2.0</v>
      </c>
    </row>
    <row r="198" spans="8:8" ht="23.85">
      <c r="A198" s="2">
        <v>1869.0</v>
      </c>
      <c r="B198" s="7" t="s">
        <v>474</v>
      </c>
      <c r="C198" s="7" t="s">
        <v>18</v>
      </c>
      <c r="D198" s="8" t="s">
        <v>579</v>
      </c>
      <c r="E198" s="8" t="s">
        <v>577</v>
      </c>
      <c r="F198" s="8" t="s">
        <v>497</v>
      </c>
      <c r="G198" s="9" t="s">
        <v>580</v>
      </c>
      <c r="H198" s="10">
        <v>3.0</v>
      </c>
    </row>
    <row r="199" spans="8:8" ht="23.85">
      <c r="A199" s="2">
        <v>1872.0</v>
      </c>
      <c r="B199" s="7" t="s">
        <v>474</v>
      </c>
      <c r="C199" s="7" t="s">
        <v>18</v>
      </c>
      <c r="D199" s="8" t="s">
        <v>581</v>
      </c>
      <c r="E199" s="8" t="s">
        <v>582</v>
      </c>
      <c r="F199" s="8" t="s">
        <v>497</v>
      </c>
      <c r="G199" s="9" t="s">
        <v>583</v>
      </c>
      <c r="H199" s="10">
        <v>3.0</v>
      </c>
    </row>
    <row r="200" spans="8:8" ht="23.85">
      <c r="A200" s="2">
        <v>1873.0</v>
      </c>
      <c r="B200" s="7" t="s">
        <v>474</v>
      </c>
      <c r="C200" s="12" t="s">
        <v>18</v>
      </c>
      <c r="D200" s="8" t="s">
        <v>584</v>
      </c>
      <c r="E200" s="8" t="s">
        <v>521</v>
      </c>
      <c r="F200" s="8" t="s">
        <v>585</v>
      </c>
      <c r="G200" s="9" t="s">
        <v>586</v>
      </c>
      <c r="H200" s="15">
        <v>5.0</v>
      </c>
    </row>
    <row r="201" spans="8:8" ht="23.85">
      <c r="A201" s="2">
        <v>1878.0</v>
      </c>
      <c r="B201" s="7" t="s">
        <v>474</v>
      </c>
      <c r="C201" s="7" t="s">
        <v>18</v>
      </c>
      <c r="D201" s="8" t="s">
        <v>587</v>
      </c>
      <c r="E201" s="8" t="s">
        <v>559</v>
      </c>
      <c r="F201" s="8" t="s">
        <v>477</v>
      </c>
      <c r="G201" s="9" t="s">
        <v>588</v>
      </c>
      <c r="H201" s="10">
        <v>3.0</v>
      </c>
    </row>
    <row r="202" spans="8:8" ht="23.85">
      <c r="A202" s="2">
        <v>1882.0</v>
      </c>
      <c r="B202" s="7" t="s">
        <v>474</v>
      </c>
      <c r="C202" s="7" t="s">
        <v>18</v>
      </c>
      <c r="D202" s="8" t="s">
        <v>589</v>
      </c>
      <c r="E202" s="8" t="s">
        <v>285</v>
      </c>
      <c r="F202" s="8" t="s">
        <v>214</v>
      </c>
      <c r="G202" s="9" t="s">
        <v>590</v>
      </c>
      <c r="H202" s="10">
        <v>3.0</v>
      </c>
    </row>
    <row r="203" spans="8:8" ht="23.85">
      <c r="A203" s="2">
        <v>1884.0</v>
      </c>
      <c r="B203" s="7" t="s">
        <v>474</v>
      </c>
      <c r="C203" s="7" t="s">
        <v>18</v>
      </c>
      <c r="D203" s="8" t="s">
        <v>591</v>
      </c>
      <c r="E203" s="8" t="s">
        <v>592</v>
      </c>
      <c r="F203" s="8" t="s">
        <v>497</v>
      </c>
      <c r="G203" s="9" t="s">
        <v>593</v>
      </c>
      <c r="H203" s="10">
        <v>3.0</v>
      </c>
    </row>
    <row r="204" spans="8:8" ht="15.0">
      <c r="A204" s="2">
        <v>1889.0</v>
      </c>
      <c r="B204" s="7" t="s">
        <v>474</v>
      </c>
      <c r="C204" s="7" t="s">
        <v>18</v>
      </c>
      <c r="D204" s="8" t="s">
        <v>594</v>
      </c>
      <c r="E204" s="8" t="s">
        <v>595</v>
      </c>
      <c r="F204" s="8" t="s">
        <v>214</v>
      </c>
      <c r="G204" s="9" t="s">
        <v>596</v>
      </c>
      <c r="H204" s="10">
        <v>3.0</v>
      </c>
    </row>
    <row r="205" spans="8:8" ht="23.85">
      <c r="A205" s="2">
        <v>1890.0</v>
      </c>
      <c r="B205" s="7" t="s">
        <v>474</v>
      </c>
      <c r="C205" s="12" t="s">
        <v>18</v>
      </c>
      <c r="D205" s="8" t="s">
        <v>597</v>
      </c>
      <c r="E205" s="8" t="s">
        <v>285</v>
      </c>
      <c r="F205" s="8" t="s">
        <v>598</v>
      </c>
      <c r="G205" s="9" t="s">
        <v>599</v>
      </c>
      <c r="H205" s="13">
        <v>4.0</v>
      </c>
    </row>
    <row r="206" spans="8:8" ht="23.85">
      <c r="A206" s="2">
        <v>1892.0</v>
      </c>
      <c r="B206" s="7" t="s">
        <v>474</v>
      </c>
      <c r="C206" s="7" t="s">
        <v>18</v>
      </c>
      <c r="D206" s="8" t="s">
        <v>600</v>
      </c>
      <c r="E206" s="8" t="s">
        <v>582</v>
      </c>
      <c r="F206" s="8" t="s">
        <v>214</v>
      </c>
      <c r="G206" s="9" t="s">
        <v>601</v>
      </c>
      <c r="H206" s="10">
        <v>3.0</v>
      </c>
    </row>
    <row r="207" spans="8:8" ht="23.85">
      <c r="A207" s="2">
        <v>1893.0</v>
      </c>
      <c r="B207" s="7" t="s">
        <v>474</v>
      </c>
      <c r="C207" s="12" t="s">
        <v>18</v>
      </c>
      <c r="D207" s="8" t="s">
        <v>602</v>
      </c>
      <c r="E207" s="8" t="s">
        <v>521</v>
      </c>
      <c r="F207" s="8" t="s">
        <v>603</v>
      </c>
      <c r="G207" s="9" t="s">
        <v>604</v>
      </c>
      <c r="H207" s="15">
        <v>5.0</v>
      </c>
    </row>
    <row r="208" spans="8:8" ht="23.85">
      <c r="A208" s="2">
        <v>1895.0</v>
      </c>
      <c r="B208" s="7" t="s">
        <v>474</v>
      </c>
      <c r="C208" s="7" t="s">
        <v>18</v>
      </c>
      <c r="D208" s="8" t="s">
        <v>605</v>
      </c>
      <c r="E208" s="8" t="s">
        <v>606</v>
      </c>
      <c r="F208" s="8" t="s">
        <v>497</v>
      </c>
      <c r="G208" s="9" t="s">
        <v>607</v>
      </c>
      <c r="H208" s="11">
        <v>2.0</v>
      </c>
    </row>
    <row r="209" spans="8:8" ht="23.85">
      <c r="A209" s="2">
        <v>1901.0</v>
      </c>
      <c r="B209" s="7" t="s">
        <v>474</v>
      </c>
      <c r="C209" s="7" t="s">
        <v>18</v>
      </c>
      <c r="D209" s="8" t="s">
        <v>608</v>
      </c>
      <c r="E209" s="8" t="s">
        <v>609</v>
      </c>
      <c r="F209" s="8" t="s">
        <v>497</v>
      </c>
      <c r="G209" s="9" t="s">
        <v>610</v>
      </c>
      <c r="H209" s="10">
        <v>3.0</v>
      </c>
    </row>
    <row r="210" spans="8:8" ht="15.0">
      <c r="A210" s="2">
        <v>1903.0</v>
      </c>
      <c r="B210" s="7" t="s">
        <v>474</v>
      </c>
      <c r="C210" s="7" t="s">
        <v>18</v>
      </c>
      <c r="D210" s="8" t="s">
        <v>611</v>
      </c>
      <c r="E210" s="8" t="s">
        <v>612</v>
      </c>
      <c r="F210" s="8" t="s">
        <v>497</v>
      </c>
      <c r="G210" s="9" t="s">
        <v>613</v>
      </c>
      <c r="H210" s="11">
        <v>2.0</v>
      </c>
    </row>
    <row r="211" spans="8:8" ht="23.85">
      <c r="A211" s="2">
        <v>1907.0</v>
      </c>
      <c r="B211" s="7" t="s">
        <v>474</v>
      </c>
      <c r="C211" s="12" t="s">
        <v>18</v>
      </c>
      <c r="D211" s="8" t="s">
        <v>614</v>
      </c>
      <c r="E211" s="8" t="s">
        <v>285</v>
      </c>
      <c r="F211" s="8" t="s">
        <v>497</v>
      </c>
      <c r="G211" s="9" t="s">
        <v>615</v>
      </c>
      <c r="H211" s="15">
        <v>5.0</v>
      </c>
    </row>
    <row r="212" spans="8:8" ht="15.0">
      <c r="A212" s="2">
        <v>1912.0</v>
      </c>
      <c r="B212" s="7" t="s">
        <v>474</v>
      </c>
      <c r="C212" s="7" t="s">
        <v>18</v>
      </c>
      <c r="D212" s="8" t="s">
        <v>616</v>
      </c>
      <c r="E212" s="8" t="s">
        <v>617</v>
      </c>
      <c r="F212" s="8" t="s">
        <v>497</v>
      </c>
      <c r="G212" s="9" t="s">
        <v>618</v>
      </c>
      <c r="H212" s="11">
        <v>2.0</v>
      </c>
    </row>
    <row r="213" spans="8:8" ht="23.85">
      <c r="A213" s="2">
        <v>1914.0</v>
      </c>
      <c r="B213" s="7" t="s">
        <v>619</v>
      </c>
      <c r="C213" s="12" t="s">
        <v>18</v>
      </c>
      <c r="D213" s="8" t="s">
        <v>620</v>
      </c>
      <c r="E213" s="8" t="s">
        <v>621</v>
      </c>
      <c r="F213" s="8" t="s">
        <v>622</v>
      </c>
      <c r="G213" s="9" t="s">
        <v>623</v>
      </c>
      <c r="H213" s="13">
        <v>4.0</v>
      </c>
    </row>
    <row r="214" spans="8:8" ht="15.0">
      <c r="A214" s="2">
        <v>1918.0</v>
      </c>
      <c r="B214" s="7" t="s">
        <v>619</v>
      </c>
      <c r="C214" s="7" t="s">
        <v>18</v>
      </c>
      <c r="D214" s="8" t="s">
        <v>624</v>
      </c>
      <c r="E214" s="8" t="s">
        <v>60</v>
      </c>
      <c r="F214" s="8" t="s">
        <v>625</v>
      </c>
      <c r="G214" s="9" t="s">
        <v>626</v>
      </c>
      <c r="H214" s="10">
        <v>3.0</v>
      </c>
    </row>
    <row r="215" spans="8:8" ht="23.85">
      <c r="A215" s="2">
        <v>1920.0</v>
      </c>
      <c r="B215" s="7" t="s">
        <v>619</v>
      </c>
      <c r="C215" s="7" t="s">
        <v>18</v>
      </c>
      <c r="D215" s="8" t="s">
        <v>627</v>
      </c>
      <c r="E215" s="8" t="s">
        <v>628</v>
      </c>
      <c r="F215" s="8" t="s">
        <v>497</v>
      </c>
      <c r="G215" s="9" t="s">
        <v>629</v>
      </c>
      <c r="H215" s="10">
        <v>3.0</v>
      </c>
    </row>
    <row r="216" spans="8:8" ht="15.0">
      <c r="A216" s="2">
        <v>1921.0</v>
      </c>
      <c r="B216" s="7" t="s">
        <v>619</v>
      </c>
      <c r="C216" s="7" t="s">
        <v>18</v>
      </c>
      <c r="D216" s="8" t="s">
        <v>630</v>
      </c>
      <c r="E216" s="8" t="s">
        <v>631</v>
      </c>
      <c r="F216" s="8" t="s">
        <v>632</v>
      </c>
      <c r="G216" s="9" t="s">
        <v>633</v>
      </c>
      <c r="H216" s="10">
        <v>3.0</v>
      </c>
    </row>
    <row r="217" spans="8:8" ht="15.0">
      <c r="A217" s="2">
        <v>1922.0</v>
      </c>
      <c r="B217" s="7" t="s">
        <v>619</v>
      </c>
      <c r="C217" s="7" t="s">
        <v>18</v>
      </c>
      <c r="D217" s="8" t="s">
        <v>634</v>
      </c>
      <c r="E217" s="8" t="s">
        <v>635</v>
      </c>
      <c r="F217" s="8" t="s">
        <v>497</v>
      </c>
      <c r="G217" s="9" t="s">
        <v>636</v>
      </c>
      <c r="H217" s="11">
        <v>2.0</v>
      </c>
    </row>
    <row r="218" spans="8:8" ht="15.0">
      <c r="A218" s="2">
        <v>1923.0</v>
      </c>
      <c r="B218" s="7" t="s">
        <v>619</v>
      </c>
      <c r="C218" s="12" t="s">
        <v>18</v>
      </c>
      <c r="D218" s="8" t="s">
        <v>637</v>
      </c>
      <c r="E218" s="8" t="s">
        <v>181</v>
      </c>
      <c r="F218" s="8" t="s">
        <v>638</v>
      </c>
      <c r="G218" s="9" t="s">
        <v>639</v>
      </c>
      <c r="H218" s="13">
        <v>4.0</v>
      </c>
    </row>
    <row r="219" spans="8:8" ht="15.0">
      <c r="A219" s="2">
        <v>1925.0</v>
      </c>
      <c r="B219" s="7" t="s">
        <v>619</v>
      </c>
      <c r="C219" s="7" t="s">
        <v>18</v>
      </c>
      <c r="D219" s="8" t="s">
        <v>640</v>
      </c>
      <c r="E219" s="8" t="s">
        <v>451</v>
      </c>
      <c r="F219" s="8" t="s">
        <v>497</v>
      </c>
      <c r="G219" s="9" t="s">
        <v>641</v>
      </c>
      <c r="H219" s="10">
        <v>3.0</v>
      </c>
    </row>
    <row r="220" spans="8:8" ht="15.0">
      <c r="A220" s="2">
        <v>1926.0</v>
      </c>
      <c r="B220" s="7" t="s">
        <v>619</v>
      </c>
      <c r="C220" s="7" t="s">
        <v>18</v>
      </c>
      <c r="D220" s="8" t="s">
        <v>642</v>
      </c>
      <c r="E220" s="8" t="s">
        <v>454</v>
      </c>
      <c r="F220" s="8" t="s">
        <v>497</v>
      </c>
      <c r="G220" s="9" t="s">
        <v>643</v>
      </c>
      <c r="H220" s="10">
        <v>3.0</v>
      </c>
    </row>
    <row r="221" spans="8:8" ht="15.0">
      <c r="A221" s="2">
        <v>1928.0</v>
      </c>
      <c r="B221" s="7" t="s">
        <v>619</v>
      </c>
      <c r="C221" s="7" t="s">
        <v>18</v>
      </c>
      <c r="D221" s="8" t="s">
        <v>644</v>
      </c>
      <c r="E221" s="8" t="s">
        <v>451</v>
      </c>
      <c r="F221" s="8" t="s">
        <v>497</v>
      </c>
      <c r="G221" s="9" t="s">
        <v>645</v>
      </c>
      <c r="H221" s="10">
        <v>3.0</v>
      </c>
    </row>
    <row r="222" spans="8:8" ht="23.85">
      <c r="A222" s="2">
        <v>1929.0</v>
      </c>
      <c r="B222" s="7" t="s">
        <v>619</v>
      </c>
      <c r="C222" s="12" t="s">
        <v>18</v>
      </c>
      <c r="D222" s="8" t="s">
        <v>646</v>
      </c>
      <c r="E222" s="8" t="s">
        <v>647</v>
      </c>
      <c r="F222" s="8" t="s">
        <v>504</v>
      </c>
      <c r="G222" s="9" t="s">
        <v>648</v>
      </c>
      <c r="H222" s="15">
        <v>5.0</v>
      </c>
    </row>
    <row r="223" spans="8:8" ht="15.0">
      <c r="A223" s="2">
        <v>1930.0</v>
      </c>
      <c r="B223" s="7" t="s">
        <v>619</v>
      </c>
      <c r="C223" s="12" t="s">
        <v>18</v>
      </c>
      <c r="D223" s="8" t="s">
        <v>649</v>
      </c>
      <c r="E223" s="8" t="s">
        <v>285</v>
      </c>
      <c r="F223" s="8" t="s">
        <v>497</v>
      </c>
      <c r="G223" s="9" t="s">
        <v>650</v>
      </c>
      <c r="H223" s="13">
        <v>4.0</v>
      </c>
    </row>
    <row r="224" spans="8:8" ht="23.85">
      <c r="A224" s="2">
        <v>1931.0</v>
      </c>
      <c r="B224" s="7" t="s">
        <v>619</v>
      </c>
      <c r="C224" s="12" t="s">
        <v>18</v>
      </c>
      <c r="D224" s="8" t="s">
        <v>651</v>
      </c>
      <c r="E224" s="8" t="s">
        <v>285</v>
      </c>
      <c r="F224" s="8" t="s">
        <v>652</v>
      </c>
      <c r="G224" s="9" t="s">
        <v>653</v>
      </c>
      <c r="H224" s="15">
        <v>5.0</v>
      </c>
    </row>
    <row r="225" spans="8:8" ht="23.85">
      <c r="A225" s="2">
        <v>1932.0</v>
      </c>
      <c r="B225" s="7" t="s">
        <v>619</v>
      </c>
      <c r="C225" s="12" t="s">
        <v>18</v>
      </c>
      <c r="D225" s="8" t="s">
        <v>654</v>
      </c>
      <c r="E225" s="8" t="s">
        <v>655</v>
      </c>
      <c r="F225" s="8" t="s">
        <v>656</v>
      </c>
      <c r="G225" s="9" t="s">
        <v>657</v>
      </c>
      <c r="H225" s="15">
        <v>5.0</v>
      </c>
    </row>
    <row r="226" spans="8:8" ht="23.85">
      <c r="A226" s="2">
        <v>1933.0</v>
      </c>
      <c r="B226" s="7" t="s">
        <v>619</v>
      </c>
      <c r="C226" s="12" t="s">
        <v>18</v>
      </c>
      <c r="D226" s="8" t="s">
        <v>658</v>
      </c>
      <c r="E226" s="8" t="s">
        <v>125</v>
      </c>
      <c r="F226" s="8" t="s">
        <v>497</v>
      </c>
      <c r="G226" s="9" t="s">
        <v>659</v>
      </c>
      <c r="H226" s="13">
        <v>4.0</v>
      </c>
    </row>
    <row r="227" spans="8:8" ht="15.0">
      <c r="A227" s="2">
        <v>1937.0</v>
      </c>
      <c r="B227" s="7" t="s">
        <v>619</v>
      </c>
      <c r="C227" s="7" t="s">
        <v>18</v>
      </c>
      <c r="D227" s="8" t="s">
        <v>660</v>
      </c>
      <c r="E227" s="8" t="s">
        <v>661</v>
      </c>
      <c r="F227" s="8" t="s">
        <v>497</v>
      </c>
      <c r="G227" s="9" t="s">
        <v>662</v>
      </c>
      <c r="H227" s="10">
        <v>3.0</v>
      </c>
    </row>
    <row r="228" spans="8:8" ht="23.85">
      <c r="A228" s="2">
        <v>1938.0</v>
      </c>
      <c r="B228" s="7" t="s">
        <v>619</v>
      </c>
      <c r="C228" s="7" t="s">
        <v>18</v>
      </c>
      <c r="D228" s="8" t="s">
        <v>663</v>
      </c>
      <c r="E228" s="8" t="s">
        <v>664</v>
      </c>
      <c r="F228" s="8" t="s">
        <v>497</v>
      </c>
      <c r="G228" s="9" t="s">
        <v>665</v>
      </c>
      <c r="H228" s="10">
        <v>3.0</v>
      </c>
    </row>
    <row r="229" spans="8:8" ht="15.0">
      <c r="A229" s="2">
        <v>1939.0</v>
      </c>
      <c r="B229" s="7" t="s">
        <v>619</v>
      </c>
      <c r="C229" s="7" t="s">
        <v>18</v>
      </c>
      <c r="D229" s="8" t="s">
        <v>666</v>
      </c>
      <c r="E229" s="8" t="s">
        <v>621</v>
      </c>
      <c r="F229" s="8" t="s">
        <v>622</v>
      </c>
      <c r="G229" s="9" t="s">
        <v>667</v>
      </c>
      <c r="H229" s="11">
        <v>2.0</v>
      </c>
    </row>
    <row r="230" spans="8:8" ht="15.0">
      <c r="A230" s="2">
        <v>1946.0</v>
      </c>
      <c r="B230" s="7" t="s">
        <v>619</v>
      </c>
      <c r="C230" s="12" t="s">
        <v>18</v>
      </c>
      <c r="D230" s="8" t="s">
        <v>668</v>
      </c>
      <c r="E230" s="8" t="s">
        <v>181</v>
      </c>
      <c r="F230" s="8" t="s">
        <v>669</v>
      </c>
      <c r="G230" s="9" t="s">
        <v>670</v>
      </c>
      <c r="H230" s="13">
        <v>4.0</v>
      </c>
    </row>
    <row r="231" spans="8:8" ht="15.0">
      <c r="A231" s="2">
        <v>1948.0</v>
      </c>
      <c r="B231" s="7" t="s">
        <v>619</v>
      </c>
      <c r="C231" s="12" t="s">
        <v>18</v>
      </c>
      <c r="D231" s="8" t="s">
        <v>671</v>
      </c>
      <c r="E231" s="8" t="s">
        <v>181</v>
      </c>
      <c r="F231" s="8" t="s">
        <v>21</v>
      </c>
      <c r="G231" s="9" t="s">
        <v>672</v>
      </c>
      <c r="H231" s="13">
        <v>4.0</v>
      </c>
    </row>
    <row r="232" spans="8:8" ht="15.0">
      <c r="A232" s="2">
        <v>1962.0</v>
      </c>
      <c r="B232" s="7" t="s">
        <v>619</v>
      </c>
      <c r="C232" s="7" t="s">
        <v>18</v>
      </c>
      <c r="D232" s="8" t="s">
        <v>673</v>
      </c>
      <c r="E232" s="8" t="s">
        <v>661</v>
      </c>
      <c r="F232" s="8" t="s">
        <v>497</v>
      </c>
      <c r="G232" s="9" t="s">
        <v>674</v>
      </c>
      <c r="H232" s="10">
        <v>3.0</v>
      </c>
    </row>
    <row r="233" spans="8:8" ht="23.85">
      <c r="A233" s="2">
        <v>1963.0</v>
      </c>
      <c r="B233" s="7" t="s">
        <v>619</v>
      </c>
      <c r="C233" s="7" t="s">
        <v>18</v>
      </c>
      <c r="D233" s="8" t="s">
        <v>675</v>
      </c>
      <c r="E233" s="8" t="s">
        <v>676</v>
      </c>
      <c r="F233" s="8" t="s">
        <v>497</v>
      </c>
      <c r="G233" s="9" t="s">
        <v>677</v>
      </c>
      <c r="H233" s="10">
        <v>3.0</v>
      </c>
    </row>
    <row r="234" spans="8:8" ht="15.0">
      <c r="A234" s="2">
        <v>1966.0</v>
      </c>
      <c r="B234" s="7" t="s">
        <v>619</v>
      </c>
      <c r="C234" s="7" t="s">
        <v>18</v>
      </c>
      <c r="D234" s="8" t="s">
        <v>678</v>
      </c>
      <c r="E234" s="8" t="s">
        <v>268</v>
      </c>
      <c r="F234" s="8" t="s">
        <v>497</v>
      </c>
      <c r="G234" s="9" t="s">
        <v>679</v>
      </c>
      <c r="H234" s="11">
        <v>2.0</v>
      </c>
    </row>
    <row r="235" spans="8:8" ht="15.0">
      <c r="A235" s="2">
        <v>1967.0</v>
      </c>
      <c r="B235" s="7" t="s">
        <v>619</v>
      </c>
      <c r="C235" s="7" t="s">
        <v>18</v>
      </c>
      <c r="D235" s="8" t="s">
        <v>680</v>
      </c>
      <c r="E235" s="8" t="s">
        <v>392</v>
      </c>
      <c r="F235" s="8" t="s">
        <v>477</v>
      </c>
      <c r="G235" s="9" t="s">
        <v>681</v>
      </c>
      <c r="H235" s="11">
        <v>2.0</v>
      </c>
    </row>
    <row r="236" spans="8:8" ht="15.0">
      <c r="A236" s="2">
        <v>1968.0</v>
      </c>
      <c r="B236" s="7" t="s">
        <v>619</v>
      </c>
      <c r="C236" s="7" t="s">
        <v>18</v>
      </c>
      <c r="D236" s="8" t="s">
        <v>682</v>
      </c>
      <c r="E236" s="8" t="s">
        <v>683</v>
      </c>
      <c r="F236" s="8" t="s">
        <v>497</v>
      </c>
      <c r="G236" s="9" t="s">
        <v>684</v>
      </c>
      <c r="H236" s="11">
        <v>2.0</v>
      </c>
    </row>
    <row r="237" spans="8:8" ht="23.85">
      <c r="A237" s="2">
        <v>1970.0</v>
      </c>
      <c r="B237" s="7" t="s">
        <v>619</v>
      </c>
      <c r="C237" s="12" t="s">
        <v>18</v>
      </c>
      <c r="D237" s="8" t="s">
        <v>685</v>
      </c>
      <c r="E237" s="8" t="s">
        <v>686</v>
      </c>
      <c r="F237" s="8" t="s">
        <v>687</v>
      </c>
      <c r="G237" s="9" t="s">
        <v>688</v>
      </c>
      <c r="H237" s="13">
        <v>4.0</v>
      </c>
    </row>
    <row r="238" spans="8:8" ht="15.0">
      <c r="A238" s="2">
        <v>1971.0</v>
      </c>
      <c r="B238" s="7" t="s">
        <v>619</v>
      </c>
      <c r="C238" s="12" t="s">
        <v>18</v>
      </c>
      <c r="D238" s="8" t="s">
        <v>689</v>
      </c>
      <c r="E238" s="8" t="s">
        <v>334</v>
      </c>
      <c r="F238" s="8" t="s">
        <v>622</v>
      </c>
      <c r="G238" s="9" t="s">
        <v>690</v>
      </c>
      <c r="H238" s="13">
        <v>4.0</v>
      </c>
    </row>
    <row r="239" spans="8:8" ht="15.0">
      <c r="A239" s="2">
        <v>1972.0</v>
      </c>
      <c r="B239" s="7" t="s">
        <v>691</v>
      </c>
      <c r="C239" s="7" t="s">
        <v>18</v>
      </c>
      <c r="D239" s="8" t="s">
        <v>692</v>
      </c>
      <c r="E239" s="8" t="s">
        <v>524</v>
      </c>
      <c r="F239" s="8" t="s">
        <v>693</v>
      </c>
      <c r="G239" s="9" t="s">
        <v>694</v>
      </c>
      <c r="H239" s="11">
        <v>2.0</v>
      </c>
    </row>
    <row r="240" spans="8:8" ht="23.85">
      <c r="A240" s="2">
        <v>1973.0</v>
      </c>
      <c r="B240" s="7" t="s">
        <v>691</v>
      </c>
      <c r="C240" s="12" t="s">
        <v>18</v>
      </c>
      <c r="D240" s="8" t="s">
        <v>695</v>
      </c>
      <c r="E240" s="8" t="s">
        <v>556</v>
      </c>
      <c r="F240" s="8" t="s">
        <v>504</v>
      </c>
      <c r="G240" s="9" t="s">
        <v>696</v>
      </c>
      <c r="H240" s="13">
        <v>4.0</v>
      </c>
    </row>
    <row r="241" spans="8:8" ht="23.85">
      <c r="A241" s="2">
        <v>1974.0</v>
      </c>
      <c r="B241" s="7" t="s">
        <v>691</v>
      </c>
      <c r="C241" s="12" t="s">
        <v>18</v>
      </c>
      <c r="D241" s="8" t="s">
        <v>697</v>
      </c>
      <c r="E241" s="8" t="s">
        <v>285</v>
      </c>
      <c r="F241" s="8" t="s">
        <v>698</v>
      </c>
      <c r="G241" s="9" t="s">
        <v>699</v>
      </c>
      <c r="H241" s="15">
        <v>5.0</v>
      </c>
    </row>
    <row r="242" spans="8:8" ht="15.0">
      <c r="A242" s="2">
        <v>1975.0</v>
      </c>
      <c r="B242" s="7" t="s">
        <v>691</v>
      </c>
      <c r="C242" s="7" t="s">
        <v>18</v>
      </c>
      <c r="D242" s="8" t="s">
        <v>700</v>
      </c>
      <c r="E242" s="8" t="s">
        <v>701</v>
      </c>
      <c r="F242" s="8" t="s">
        <v>497</v>
      </c>
      <c r="G242" s="9" t="s">
        <v>702</v>
      </c>
      <c r="H242" s="10">
        <v>3.0</v>
      </c>
    </row>
    <row r="243" spans="8:8" ht="15.0">
      <c r="A243" s="2">
        <v>1976.0</v>
      </c>
      <c r="B243" s="7" t="s">
        <v>691</v>
      </c>
      <c r="C243" s="7" t="s">
        <v>18</v>
      </c>
      <c r="D243" s="8" t="s">
        <v>703</v>
      </c>
      <c r="E243" s="8" t="s">
        <v>704</v>
      </c>
      <c r="F243" s="8" t="s">
        <v>477</v>
      </c>
      <c r="G243" s="9" t="s">
        <v>705</v>
      </c>
      <c r="H243" s="10">
        <v>3.0</v>
      </c>
    </row>
    <row r="244" spans="8:8" ht="15.0">
      <c r="A244" s="2">
        <v>1979.0</v>
      </c>
      <c r="B244" s="7" t="s">
        <v>691</v>
      </c>
      <c r="C244" s="7" t="s">
        <v>18</v>
      </c>
      <c r="D244" s="8" t="s">
        <v>706</v>
      </c>
      <c r="E244" s="8" t="s">
        <v>334</v>
      </c>
      <c r="F244" s="8" t="s">
        <v>707</v>
      </c>
      <c r="G244" s="9" t="s">
        <v>708</v>
      </c>
      <c r="H244" s="10">
        <v>3.0</v>
      </c>
    </row>
    <row r="245" spans="8:8" ht="23.85">
      <c r="A245" s="2">
        <v>1980.0</v>
      </c>
      <c r="B245" s="7" t="s">
        <v>691</v>
      </c>
      <c r="C245" s="7" t="s">
        <v>18</v>
      </c>
      <c r="D245" s="8" t="s">
        <v>709</v>
      </c>
      <c r="E245" s="8" t="s">
        <v>710</v>
      </c>
      <c r="F245" s="8" t="s">
        <v>497</v>
      </c>
      <c r="G245" s="9" t="s">
        <v>711</v>
      </c>
      <c r="H245" s="10">
        <v>3.0</v>
      </c>
    </row>
    <row r="246" spans="8:8" ht="35.05">
      <c r="A246" s="2">
        <v>1982.0</v>
      </c>
      <c r="B246" s="7" t="s">
        <v>691</v>
      </c>
      <c r="C246" s="12" t="s">
        <v>18</v>
      </c>
      <c r="D246" s="8" t="s">
        <v>712</v>
      </c>
      <c r="E246" s="8" t="s">
        <v>713</v>
      </c>
      <c r="F246" s="8" t="s">
        <v>622</v>
      </c>
      <c r="G246" s="9" t="s">
        <v>714</v>
      </c>
      <c r="H246" s="15">
        <v>5.0</v>
      </c>
    </row>
    <row r="247" spans="8:8" ht="23.85">
      <c r="A247" s="2">
        <v>1983.0</v>
      </c>
      <c r="B247" s="7" t="s">
        <v>691</v>
      </c>
      <c r="C247" s="7" t="s">
        <v>18</v>
      </c>
      <c r="D247" s="8" t="s">
        <v>715</v>
      </c>
      <c r="E247" s="8" t="s">
        <v>577</v>
      </c>
      <c r="F247" s="8" t="s">
        <v>716</v>
      </c>
      <c r="G247" s="9" t="s">
        <v>717</v>
      </c>
      <c r="H247" s="10">
        <v>3.0</v>
      </c>
    </row>
    <row r="248" spans="8:8" ht="23.85">
      <c r="A248" s="2">
        <v>1984.0</v>
      </c>
      <c r="B248" s="7" t="s">
        <v>691</v>
      </c>
      <c r="C248" s="12" t="s">
        <v>18</v>
      </c>
      <c r="D248" s="8" t="s">
        <v>718</v>
      </c>
      <c r="E248" s="8" t="s">
        <v>285</v>
      </c>
      <c r="F248" s="8" t="s">
        <v>497</v>
      </c>
      <c r="G248" s="9" t="s">
        <v>719</v>
      </c>
      <c r="H248" s="13">
        <v>4.0</v>
      </c>
    </row>
    <row r="249" spans="8:8" ht="23.85">
      <c r="A249" s="2">
        <v>1985.0</v>
      </c>
      <c r="B249" s="7" t="s">
        <v>691</v>
      </c>
      <c r="C249" s="7" t="s">
        <v>18</v>
      </c>
      <c r="D249" s="8" t="s">
        <v>720</v>
      </c>
      <c r="E249" s="8" t="s">
        <v>721</v>
      </c>
      <c r="F249" s="8" t="s">
        <v>497</v>
      </c>
      <c r="G249" s="9" t="s">
        <v>722</v>
      </c>
      <c r="H249" s="10">
        <v>3.0</v>
      </c>
    </row>
    <row r="250" spans="8:8" ht="23.85">
      <c r="A250" s="2">
        <v>1986.0</v>
      </c>
      <c r="B250" s="7" t="s">
        <v>691</v>
      </c>
      <c r="C250" s="7" t="s">
        <v>18</v>
      </c>
      <c r="D250" s="8" t="s">
        <v>723</v>
      </c>
      <c r="E250" s="8" t="s">
        <v>724</v>
      </c>
      <c r="F250" s="8" t="s">
        <v>504</v>
      </c>
      <c r="G250" s="9" t="s">
        <v>725</v>
      </c>
      <c r="H250" s="10">
        <v>3.0</v>
      </c>
    </row>
    <row r="251" spans="8:8" ht="23.85">
      <c r="A251" s="2">
        <v>1987.0</v>
      </c>
      <c r="B251" s="7" t="s">
        <v>691</v>
      </c>
      <c r="C251" s="12" t="s">
        <v>18</v>
      </c>
      <c r="D251" s="8" t="s">
        <v>726</v>
      </c>
      <c r="E251" s="8" t="s">
        <v>661</v>
      </c>
      <c r="F251" s="8" t="s">
        <v>622</v>
      </c>
      <c r="G251" s="9" t="s">
        <v>727</v>
      </c>
      <c r="H251" s="15">
        <v>5.0</v>
      </c>
    </row>
    <row r="252" spans="8:8" ht="15.0">
      <c r="A252" s="2">
        <v>1988.0</v>
      </c>
      <c r="B252" s="7" t="s">
        <v>691</v>
      </c>
      <c r="C252" s="7" t="s">
        <v>18</v>
      </c>
      <c r="D252" s="8" t="s">
        <v>728</v>
      </c>
      <c r="E252" s="8" t="s">
        <v>729</v>
      </c>
      <c r="F252" s="8" t="s">
        <v>497</v>
      </c>
      <c r="G252" s="9" t="s">
        <v>730</v>
      </c>
      <c r="H252" s="10">
        <v>3.0</v>
      </c>
    </row>
    <row r="253" spans="8:8" ht="23.85">
      <c r="A253" s="2">
        <v>1989.0</v>
      </c>
      <c r="B253" s="7" t="s">
        <v>691</v>
      </c>
      <c r="C253" s="12" t="s">
        <v>18</v>
      </c>
      <c r="D253" s="8" t="s">
        <v>731</v>
      </c>
      <c r="E253" s="8" t="s">
        <v>732</v>
      </c>
      <c r="F253" s="8" t="s">
        <v>733</v>
      </c>
      <c r="G253" s="9" t="s">
        <v>734</v>
      </c>
      <c r="H253" s="13">
        <v>4.0</v>
      </c>
    </row>
    <row r="254" spans="8:8" ht="23.85">
      <c r="A254" s="2">
        <v>1990.0</v>
      </c>
      <c r="B254" s="7" t="s">
        <v>691</v>
      </c>
      <c r="C254" s="12" t="s">
        <v>18</v>
      </c>
      <c r="D254" s="8" t="s">
        <v>735</v>
      </c>
      <c r="E254" s="8" t="s">
        <v>454</v>
      </c>
      <c r="F254" s="8" t="s">
        <v>736</v>
      </c>
      <c r="G254" s="9" t="s">
        <v>737</v>
      </c>
      <c r="H254" s="15">
        <v>5.0</v>
      </c>
    </row>
    <row r="255" spans="8:8" ht="35.05">
      <c r="A255" s="2">
        <v>1991.0</v>
      </c>
      <c r="B255" s="7" t="s">
        <v>691</v>
      </c>
      <c r="C255" s="12" t="s">
        <v>18</v>
      </c>
      <c r="D255" s="8" t="s">
        <v>738</v>
      </c>
      <c r="E255" s="8" t="s">
        <v>524</v>
      </c>
      <c r="F255" s="8" t="s">
        <v>739</v>
      </c>
      <c r="G255" s="9" t="s">
        <v>740</v>
      </c>
      <c r="H255" s="13">
        <v>4.0</v>
      </c>
    </row>
    <row r="256" spans="8:8" ht="35.05">
      <c r="A256" s="2">
        <v>1992.0</v>
      </c>
      <c r="B256" s="7" t="s">
        <v>691</v>
      </c>
      <c r="C256" s="12" t="s">
        <v>18</v>
      </c>
      <c r="D256" s="8" t="s">
        <v>741</v>
      </c>
      <c r="E256" s="8" t="s">
        <v>742</v>
      </c>
      <c r="F256" s="8" t="s">
        <v>743</v>
      </c>
      <c r="G256" s="9" t="s">
        <v>744</v>
      </c>
      <c r="H256" s="13">
        <v>4.0</v>
      </c>
    </row>
    <row r="257" spans="8:8" ht="15.0">
      <c r="A257" s="2">
        <v>1993.0</v>
      </c>
      <c r="B257" s="7" t="s">
        <v>691</v>
      </c>
      <c r="C257" s="7" t="s">
        <v>18</v>
      </c>
      <c r="D257" s="8" t="s">
        <v>745</v>
      </c>
      <c r="E257" s="8" t="s">
        <v>392</v>
      </c>
      <c r="F257" s="8" t="s">
        <v>94</v>
      </c>
      <c r="G257" s="9" t="s">
        <v>746</v>
      </c>
      <c r="H257" s="10">
        <v>3.0</v>
      </c>
    </row>
    <row r="258" spans="8:8" ht="23.85">
      <c r="A258" s="2">
        <v>1994.0</v>
      </c>
      <c r="B258" s="7" t="s">
        <v>691</v>
      </c>
      <c r="C258" s="12" t="s">
        <v>18</v>
      </c>
      <c r="D258" s="8" t="s">
        <v>747</v>
      </c>
      <c r="E258" s="8" t="s">
        <v>748</v>
      </c>
      <c r="F258" s="8" t="s">
        <v>749</v>
      </c>
      <c r="G258" s="9" t="s">
        <v>750</v>
      </c>
      <c r="H258" s="13">
        <v>4.0</v>
      </c>
    </row>
    <row r="259" spans="8:8" ht="23.85">
      <c r="A259" s="2">
        <v>1995.0</v>
      </c>
      <c r="B259" s="7" t="s">
        <v>691</v>
      </c>
      <c r="C259" s="12" t="s">
        <v>18</v>
      </c>
      <c r="D259" s="8" t="s">
        <v>751</v>
      </c>
      <c r="E259" s="8" t="s">
        <v>752</v>
      </c>
      <c r="F259" s="8" t="s">
        <v>753</v>
      </c>
      <c r="G259" s="9" t="s">
        <v>754</v>
      </c>
      <c r="H259" s="13">
        <v>4.0</v>
      </c>
    </row>
    <row r="260" spans="8:8" ht="23.85">
      <c r="A260" s="2">
        <v>1996.0</v>
      </c>
      <c r="B260" s="7" t="s">
        <v>691</v>
      </c>
      <c r="C260" s="7" t="s">
        <v>18</v>
      </c>
      <c r="D260" s="8" t="s">
        <v>755</v>
      </c>
      <c r="E260" s="8" t="s">
        <v>756</v>
      </c>
      <c r="F260" s="8" t="s">
        <v>757</v>
      </c>
      <c r="G260" s="9" t="s">
        <v>758</v>
      </c>
      <c r="H260" s="10">
        <v>3.0</v>
      </c>
    </row>
    <row r="261" spans="8:8" ht="35.05">
      <c r="A261" s="2">
        <v>1997.0</v>
      </c>
      <c r="B261" s="7" t="s">
        <v>691</v>
      </c>
      <c r="C261" s="12" t="s">
        <v>18</v>
      </c>
      <c r="D261" s="8" t="s">
        <v>759</v>
      </c>
      <c r="E261" s="8" t="s">
        <v>760</v>
      </c>
      <c r="F261" s="8" t="s">
        <v>761</v>
      </c>
      <c r="G261" s="9" t="s">
        <v>762</v>
      </c>
      <c r="H261" s="15">
        <v>5.0</v>
      </c>
    </row>
    <row r="262" spans="8:8" ht="23.85">
      <c r="A262" s="2">
        <v>1998.0</v>
      </c>
      <c r="B262" s="7" t="s">
        <v>691</v>
      </c>
      <c r="C262" s="12" t="s">
        <v>18</v>
      </c>
      <c r="D262" s="8" t="s">
        <v>763</v>
      </c>
      <c r="E262" s="8" t="s">
        <v>764</v>
      </c>
      <c r="F262" s="8" t="s">
        <v>765</v>
      </c>
      <c r="G262" s="9" t="s">
        <v>766</v>
      </c>
      <c r="H262" s="15">
        <v>5.0</v>
      </c>
    </row>
    <row r="263" spans="8:8" ht="15.0">
      <c r="A263" s="2">
        <v>1999.0</v>
      </c>
      <c r="B263" s="7" t="s">
        <v>691</v>
      </c>
      <c r="C263" s="7" t="s">
        <v>18</v>
      </c>
      <c r="D263" s="8" t="s">
        <v>767</v>
      </c>
      <c r="E263" s="8" t="s">
        <v>451</v>
      </c>
      <c r="F263" s="8" t="s">
        <v>768</v>
      </c>
      <c r="G263" s="9" t="s">
        <v>769</v>
      </c>
      <c r="H263" s="10">
        <v>3.0</v>
      </c>
    </row>
    <row r="264" spans="8:8" ht="23.85">
      <c r="A264" s="2">
        <v>2000.0</v>
      </c>
      <c r="B264" s="7" t="s">
        <v>691</v>
      </c>
      <c r="C264" s="12" t="s">
        <v>18</v>
      </c>
      <c r="D264" s="8" t="s">
        <v>770</v>
      </c>
      <c r="E264" s="8" t="s">
        <v>454</v>
      </c>
      <c r="F264" s="8" t="s">
        <v>707</v>
      </c>
      <c r="G264" s="9" t="s">
        <v>771</v>
      </c>
      <c r="H264" s="15">
        <v>5.0</v>
      </c>
    </row>
    <row r="265" spans="8:8" ht="23.85">
      <c r="A265" s="2">
        <v>2001.0</v>
      </c>
      <c r="B265" s="7" t="s">
        <v>691</v>
      </c>
      <c r="C265" s="12" t="s">
        <v>18</v>
      </c>
      <c r="D265" s="8" t="s">
        <v>772</v>
      </c>
      <c r="E265" s="8" t="s">
        <v>773</v>
      </c>
      <c r="F265" s="8" t="s">
        <v>774</v>
      </c>
      <c r="G265" s="9" t="s">
        <v>775</v>
      </c>
      <c r="H265" s="15">
        <v>5.0</v>
      </c>
    </row>
    <row r="266" spans="8:8" ht="23.85">
      <c r="A266" s="2">
        <v>2002.0</v>
      </c>
      <c r="B266" s="7" t="s">
        <v>691</v>
      </c>
      <c r="C266" s="12" t="s">
        <v>18</v>
      </c>
      <c r="D266" s="8" t="s">
        <v>776</v>
      </c>
      <c r="E266" s="8" t="s">
        <v>556</v>
      </c>
      <c r="F266" s="8" t="s">
        <v>497</v>
      </c>
      <c r="G266" s="9" t="s">
        <v>777</v>
      </c>
      <c r="H266" s="15">
        <v>5.0</v>
      </c>
    </row>
    <row r="267" spans="8:8" ht="23.85">
      <c r="A267" s="2">
        <v>2003.0</v>
      </c>
      <c r="B267" s="7" t="s">
        <v>691</v>
      </c>
      <c r="C267" s="12" t="s">
        <v>18</v>
      </c>
      <c r="D267" s="8" t="s">
        <v>778</v>
      </c>
      <c r="E267" s="8" t="s">
        <v>556</v>
      </c>
      <c r="F267" s="8" t="s">
        <v>779</v>
      </c>
      <c r="G267" s="9" t="s">
        <v>780</v>
      </c>
      <c r="H267" s="13">
        <v>4.0</v>
      </c>
    </row>
    <row r="268" spans="8:8" ht="23.85">
      <c r="A268" s="2">
        <v>2004.0</v>
      </c>
      <c r="B268" s="7" t="s">
        <v>691</v>
      </c>
      <c r="C268" s="7" t="s">
        <v>18</v>
      </c>
      <c r="D268" s="8" t="s">
        <v>781</v>
      </c>
      <c r="E268" s="8" t="s">
        <v>556</v>
      </c>
      <c r="F268" s="8" t="s">
        <v>782</v>
      </c>
      <c r="G268" s="9" t="s">
        <v>783</v>
      </c>
      <c r="H268" s="10">
        <v>3.0</v>
      </c>
    </row>
    <row r="269" spans="8:8" ht="23.85">
      <c r="A269" s="2">
        <v>2005.0</v>
      </c>
      <c r="B269" s="7" t="s">
        <v>691</v>
      </c>
      <c r="C269" s="7" t="s">
        <v>18</v>
      </c>
      <c r="D269" s="8" t="s">
        <v>784</v>
      </c>
      <c r="E269" s="8" t="s">
        <v>524</v>
      </c>
      <c r="F269" s="8" t="s">
        <v>497</v>
      </c>
      <c r="G269" s="9" t="s">
        <v>785</v>
      </c>
      <c r="H269" s="10">
        <v>3.0</v>
      </c>
    </row>
    <row r="270" spans="8:8" ht="23.85">
      <c r="A270" s="2">
        <v>2006.0</v>
      </c>
      <c r="B270" s="7" t="s">
        <v>691</v>
      </c>
      <c r="C270" s="7" t="s">
        <v>18</v>
      </c>
      <c r="D270" s="8" t="s">
        <v>786</v>
      </c>
      <c r="E270" s="8" t="s">
        <v>787</v>
      </c>
      <c r="F270" s="8" t="s">
        <v>497</v>
      </c>
      <c r="G270" s="9" t="s">
        <v>788</v>
      </c>
      <c r="H270" s="10">
        <v>3.0</v>
      </c>
    </row>
    <row r="271" spans="8:8" ht="23.85">
      <c r="A271" s="2">
        <v>2007.0</v>
      </c>
      <c r="B271" s="7" t="s">
        <v>691</v>
      </c>
      <c r="C271" s="12" t="s">
        <v>18</v>
      </c>
      <c r="D271" s="8" t="s">
        <v>789</v>
      </c>
      <c r="E271" s="8" t="s">
        <v>268</v>
      </c>
      <c r="F271" s="8" t="s">
        <v>790</v>
      </c>
      <c r="G271" s="9" t="s">
        <v>791</v>
      </c>
      <c r="H271" s="15">
        <v>5.0</v>
      </c>
    </row>
    <row r="272" spans="8:8" ht="46.25">
      <c r="A272" s="2">
        <v>2008.0</v>
      </c>
      <c r="B272" s="7" t="s">
        <v>691</v>
      </c>
      <c r="C272" s="12" t="s">
        <v>18</v>
      </c>
      <c r="D272" s="8" t="s">
        <v>792</v>
      </c>
      <c r="E272" s="8" t="s">
        <v>793</v>
      </c>
      <c r="F272" s="8" t="s">
        <v>622</v>
      </c>
      <c r="G272" s="9" t="s">
        <v>794</v>
      </c>
      <c r="H272" s="15">
        <v>5.0</v>
      </c>
    </row>
    <row r="273" spans="8:8" ht="35.05">
      <c r="A273" s="2">
        <v>2009.0</v>
      </c>
      <c r="B273" s="7" t="s">
        <v>691</v>
      </c>
      <c r="C273" s="12" t="s">
        <v>18</v>
      </c>
      <c r="D273" s="8" t="s">
        <v>795</v>
      </c>
      <c r="E273" s="8" t="s">
        <v>556</v>
      </c>
      <c r="F273" s="8" t="s">
        <v>796</v>
      </c>
      <c r="G273" s="9" t="s">
        <v>797</v>
      </c>
      <c r="H273" s="15">
        <v>5.0</v>
      </c>
    </row>
    <row r="274" spans="8:8" ht="35.05">
      <c r="A274" s="2">
        <v>2010.0</v>
      </c>
      <c r="B274" s="7" t="s">
        <v>691</v>
      </c>
      <c r="C274" s="12" t="s">
        <v>18</v>
      </c>
      <c r="D274" s="8" t="s">
        <v>798</v>
      </c>
      <c r="E274" s="8" t="s">
        <v>799</v>
      </c>
      <c r="F274" s="8" t="s">
        <v>800</v>
      </c>
      <c r="G274" s="9" t="s">
        <v>801</v>
      </c>
      <c r="H274" s="15">
        <v>5.0</v>
      </c>
    </row>
    <row r="275" spans="8:8" ht="35.05">
      <c r="A275" s="2">
        <v>2011.0</v>
      </c>
      <c r="B275" s="7" t="s">
        <v>691</v>
      </c>
      <c r="C275" s="12" t="s">
        <v>18</v>
      </c>
      <c r="D275" s="8" t="s">
        <v>802</v>
      </c>
      <c r="E275" s="8" t="s">
        <v>803</v>
      </c>
      <c r="F275" s="8" t="s">
        <v>804</v>
      </c>
      <c r="G275" s="9" t="s">
        <v>805</v>
      </c>
      <c r="H275" s="13">
        <v>4.0</v>
      </c>
    </row>
    <row r="276" spans="8:8" ht="35.05">
      <c r="A276" s="2">
        <v>2012.0</v>
      </c>
      <c r="B276" s="7" t="s">
        <v>691</v>
      </c>
      <c r="C276" s="12" t="s">
        <v>18</v>
      </c>
      <c r="D276" s="8" t="s">
        <v>806</v>
      </c>
      <c r="E276" s="8" t="s">
        <v>807</v>
      </c>
      <c r="F276" s="8" t="s">
        <v>739</v>
      </c>
      <c r="G276" s="9" t="s">
        <v>808</v>
      </c>
      <c r="H276" s="13">
        <v>4.0</v>
      </c>
    </row>
    <row r="277" spans="8:8" ht="35.05">
      <c r="A277" s="2">
        <v>2013.0</v>
      </c>
      <c r="B277" s="7" t="s">
        <v>691</v>
      </c>
      <c r="C277" s="7" t="s">
        <v>18</v>
      </c>
      <c r="D277" s="8" t="s">
        <v>809</v>
      </c>
      <c r="E277" s="8" t="s">
        <v>810</v>
      </c>
      <c r="F277" s="8" t="s">
        <v>811</v>
      </c>
      <c r="G277" s="9" t="s">
        <v>812</v>
      </c>
      <c r="H277" s="10">
        <v>3.0</v>
      </c>
    </row>
    <row r="278" spans="8:8" ht="35.05">
      <c r="A278" s="2">
        <v>2014.0</v>
      </c>
      <c r="B278" s="7" t="s">
        <v>691</v>
      </c>
      <c r="C278" s="12" t="s">
        <v>18</v>
      </c>
      <c r="D278" s="8" t="s">
        <v>813</v>
      </c>
      <c r="E278" s="8" t="s">
        <v>732</v>
      </c>
      <c r="F278" s="8" t="s">
        <v>814</v>
      </c>
      <c r="G278" s="9" t="s">
        <v>815</v>
      </c>
      <c r="H278" s="13">
        <v>4.0</v>
      </c>
    </row>
    <row r="279" spans="8:8" ht="35.05">
      <c r="A279" s="2">
        <v>2015.0</v>
      </c>
      <c r="B279" s="7" t="s">
        <v>691</v>
      </c>
      <c r="C279" s="12" t="s">
        <v>18</v>
      </c>
      <c r="D279" s="8" t="s">
        <v>816</v>
      </c>
      <c r="E279" s="8" t="s">
        <v>647</v>
      </c>
      <c r="F279" s="8" t="s">
        <v>817</v>
      </c>
      <c r="G279" s="9" t="s">
        <v>818</v>
      </c>
      <c r="H279" s="13">
        <v>4.0</v>
      </c>
    </row>
    <row r="280" spans="8:8" ht="35.05">
      <c r="A280" s="2">
        <v>2016.0</v>
      </c>
      <c r="B280" s="7" t="s">
        <v>691</v>
      </c>
      <c r="C280" s="12" t="s">
        <v>18</v>
      </c>
      <c r="D280" s="8" t="s">
        <v>819</v>
      </c>
      <c r="E280" s="8" t="s">
        <v>820</v>
      </c>
      <c r="F280" s="8" t="s">
        <v>821</v>
      </c>
      <c r="G280" s="9" t="s">
        <v>822</v>
      </c>
      <c r="H280" s="13">
        <v>4.0</v>
      </c>
    </row>
    <row r="281" spans="8:8" ht="35.05">
      <c r="A281" s="2">
        <v>2017.0</v>
      </c>
      <c r="B281" s="7" t="s">
        <v>691</v>
      </c>
      <c r="C281" s="7" t="s">
        <v>18</v>
      </c>
      <c r="D281" s="8" t="s">
        <v>823</v>
      </c>
      <c r="E281" s="8" t="s">
        <v>824</v>
      </c>
      <c r="F281" s="8" t="s">
        <v>825</v>
      </c>
      <c r="G281" s="9" t="s">
        <v>826</v>
      </c>
      <c r="H281" s="10">
        <v>3.0</v>
      </c>
    </row>
    <row r="282" spans="8:8" ht="46.25">
      <c r="A282" s="2">
        <v>2018.0</v>
      </c>
      <c r="B282" s="7" t="s">
        <v>691</v>
      </c>
      <c r="C282" s="12" t="s">
        <v>18</v>
      </c>
      <c r="D282" s="8" t="s">
        <v>827</v>
      </c>
      <c r="E282" s="8" t="s">
        <v>828</v>
      </c>
      <c r="F282" s="8" t="s">
        <v>829</v>
      </c>
      <c r="G282" s="9" t="s">
        <v>830</v>
      </c>
      <c r="H282" s="13">
        <v>4.0</v>
      </c>
    </row>
    <row r="283" spans="8:8" ht="35.05">
      <c r="A283" s="2">
        <v>2019.0</v>
      </c>
      <c r="B283" s="7" t="s">
        <v>691</v>
      </c>
      <c r="C283" s="7" t="s">
        <v>18</v>
      </c>
      <c r="D283" s="8" t="s">
        <v>831</v>
      </c>
      <c r="E283" s="8" t="s">
        <v>832</v>
      </c>
      <c r="F283" s="8" t="s">
        <v>833</v>
      </c>
      <c r="G283" s="9" t="s">
        <v>834</v>
      </c>
      <c r="H283" s="10">
        <v>3.0</v>
      </c>
    </row>
    <row r="284" spans="8:8" ht="57.45">
      <c r="A284" s="2">
        <v>2020.0</v>
      </c>
      <c r="B284" s="7" t="s">
        <v>691</v>
      </c>
      <c r="C284" s="12" t="s">
        <v>18</v>
      </c>
      <c r="D284" s="8" t="s">
        <v>835</v>
      </c>
      <c r="E284" s="8" t="s">
        <v>836</v>
      </c>
      <c r="F284" s="8" t="s">
        <v>837</v>
      </c>
      <c r="G284" s="9" t="s">
        <v>838</v>
      </c>
      <c r="H284" s="15">
        <v>5.0</v>
      </c>
    </row>
    <row r="285" spans="8:8" ht="46.25">
      <c r="A285" s="2">
        <v>2021.0</v>
      </c>
      <c r="B285" s="7" t="s">
        <v>691</v>
      </c>
      <c r="C285" s="12" t="s">
        <v>18</v>
      </c>
      <c r="D285" s="8" t="s">
        <v>839</v>
      </c>
      <c r="E285" s="8" t="s">
        <v>840</v>
      </c>
      <c r="F285" s="8" t="s">
        <v>841</v>
      </c>
      <c r="G285" s="9" t="s">
        <v>842</v>
      </c>
      <c r="H285" s="13">
        <v>4.0</v>
      </c>
    </row>
    <row r="286" spans="8:8" ht="46.25">
      <c r="A286" s="2">
        <v>2022.0</v>
      </c>
      <c r="B286" s="7" t="s">
        <v>691</v>
      </c>
      <c r="C286" s="12" t="s">
        <v>18</v>
      </c>
      <c r="D286" s="8" t="s">
        <v>843</v>
      </c>
      <c r="E286" s="8" t="s">
        <v>844</v>
      </c>
      <c r="F286" s="8" t="s">
        <v>845</v>
      </c>
      <c r="G286" s="9" t="s">
        <v>846</v>
      </c>
      <c r="H286" s="15">
        <v>5.0</v>
      </c>
    </row>
    <row r="287" spans="8:8" ht="46.25">
      <c r="A287" s="2">
        <v>2023.0</v>
      </c>
      <c r="B287" s="7" t="s">
        <v>691</v>
      </c>
      <c r="C287" s="12" t="s">
        <v>18</v>
      </c>
      <c r="D287" s="8" t="s">
        <v>847</v>
      </c>
      <c r="E287" s="8" t="s">
        <v>848</v>
      </c>
      <c r="F287" s="8" t="s">
        <v>849</v>
      </c>
      <c r="G287" s="9" t="s">
        <v>850</v>
      </c>
      <c r="H287" s="15">
        <v>5.0</v>
      </c>
    </row>
    <row r="288" spans="8:8" ht="46.25">
      <c r="A288" s="2">
        <v>2024.0</v>
      </c>
      <c r="B288" s="7" t="s">
        <v>691</v>
      </c>
      <c r="C288" s="7" t="s">
        <v>18</v>
      </c>
      <c r="D288" s="8" t="s">
        <v>851</v>
      </c>
      <c r="E288" s="8" t="s">
        <v>852</v>
      </c>
      <c r="F288" s="8" t="s">
        <v>853</v>
      </c>
      <c r="G288" s="9" t="s">
        <v>854</v>
      </c>
      <c r="H288" s="10">
        <v>3.0</v>
      </c>
    </row>
    <row r="289" spans="8:8" ht="79.85">
      <c r="A289" s="2">
        <v>2025.0</v>
      </c>
      <c r="B289" s="7" t="s">
        <v>691</v>
      </c>
      <c r="C289" s="12" t="s">
        <v>18</v>
      </c>
      <c r="D289" s="8" t="s">
        <v>855</v>
      </c>
      <c r="E289" s="8" t="s">
        <v>856</v>
      </c>
      <c r="F289" s="8" t="s">
        <v>857</v>
      </c>
      <c r="G289" s="9" t="s">
        <v>858</v>
      </c>
      <c r="H289" s="13">
        <v>4.0</v>
      </c>
    </row>
    <row r="290" spans="8:8" ht="68.65">
      <c r="A290" s="2">
        <v>2026.0</v>
      </c>
      <c r="B290" s="7" t="s">
        <v>691</v>
      </c>
      <c r="C290" s="7" t="s">
        <v>18</v>
      </c>
      <c r="D290" s="8" t="s">
        <v>859</v>
      </c>
      <c r="E290" s="8" t="s">
        <v>860</v>
      </c>
      <c r="F290" s="8" t="s">
        <v>622</v>
      </c>
      <c r="G290" s="9" t="s">
        <v>861</v>
      </c>
      <c r="H290" s="10">
        <v>3.0</v>
      </c>
    </row>
  </sheetData>
  <autoFilter ref="A1:H290">
    <filterColumn colId="0" showButton="1"/>
  </autoFilter>
  <pageMargins left="0.75" right="0.75" top="1.0" bottom="1.0" header="0.511811023622047" footer="0.511811023622047"/>
  <pageSetup paperSize="9"/>
</worksheet>
</file>

<file path=xl/worksheets/sheet3.xml><?xml version="1.0" encoding="utf-8"?>
<worksheet xmlns:r="http://schemas.openxmlformats.org/officeDocument/2006/relationships" xmlns="http://schemas.openxmlformats.org/spreadsheetml/2006/main">
  <dimension ref="A1:I27"/>
  <sheetViews>
    <sheetView workbookViewId="0">
      <pane ySplit="1" topLeftCell="A2" state="frozen" activePane="bottomLeft"/>
      <selection pane="bottomLeft" activeCell="A1" sqref="A1"/>
    </sheetView>
  </sheetViews>
  <sheetFormatPr defaultRowHeight="15.0" zeroHeight="1"/>
  <cols>
    <col min="1" max="1" customWidth="1" width="18.0" style="0"/>
    <col min="2" max="4" customWidth="1" width="9.0" style="0"/>
    <col min="5" max="5" customWidth="1" width="14.0" style="0"/>
    <col min="6" max="8" customWidth="1" width="15.0" style="0"/>
  </cols>
  <sheetData>
    <row r="1" spans="8:8" ht="30.0" customHeight="1">
      <c r="A1" s="1" t="s">
        <v>862</v>
      </c>
      <c r="B1" s="1" t="s">
        <v>863</v>
      </c>
      <c r="C1" s="1" t="s">
        <v>864</v>
      </c>
      <c r="D1" s="1" t="s">
        <v>865</v>
      </c>
      <c r="E1" s="1" t="s">
        <v>866</v>
      </c>
      <c r="F1" s="1" t="s">
        <v>867</v>
      </c>
      <c r="G1" s="1" t="s">
        <v>868</v>
      </c>
      <c r="H1" s="1" t="s">
        <v>869</v>
      </c>
    </row>
    <row r="2" spans="8:8" ht="15.0">
      <c r="A2" s="16" t="s">
        <v>870</v>
      </c>
      <c r="B2" s="16">
        <v>800.0</v>
      </c>
      <c r="C2" s="16">
        <v>849.0</v>
      </c>
      <c r="D2" s="16">
        <f>C2-B2+1</f>
        <v>50.0</v>
      </c>
      <c r="E2" s="16">
        <f>_xlfn.COUNTIFS('Year by Year'!$A$2:$A$1228,"&gt;="&amp;B2,'Year by Year'!$A$2:$A$1228,"&lt;="&amp;C2,'Year by Year'!$H$2:$H$1228,"&gt;0")</f>
        <v>4.0</v>
      </c>
      <c r="F2" s="17">
        <f>_xlfn.IFERROR(E2/D2,0)</f>
        <v>0.08</v>
      </c>
      <c r="G2" s="16">
        <f>_xlfn.SUMIFS('Year by Year'!$H$2:$H$1228,'Year by Year'!$A$2:$A$1228,"&gt;="&amp;B2,'Year by Year'!$A$2:$A$1228,"&lt;="&amp;C2)</f>
        <v>12.0</v>
      </c>
      <c r="H2" s="16">
        <f>_xlfn.MAXIFS('Year by Year'!$H$2:$H$1228,'Year by Year'!$A$2:$A$1228,"&gt;="&amp;B2,'Year by Year'!$A$2:$A$1228,"&lt;="&amp;C2)</f>
        <v>4.0</v>
      </c>
    </row>
    <row r="3" spans="8:8" ht="15.0">
      <c r="A3" s="16" t="s">
        <v>871</v>
      </c>
      <c r="B3" s="16">
        <v>850.0</v>
      </c>
      <c r="C3" s="16">
        <v>899.0</v>
      </c>
      <c r="D3" s="16">
        <f>C3-B3+1</f>
        <v>50.0</v>
      </c>
      <c r="E3" s="16">
        <f>_xlfn.COUNTIFS('Year by Year'!$A$2:$A$1228,"&gt;="&amp;B3,'Year by Year'!$A$2:$A$1228,"&lt;="&amp;C3,'Year by Year'!$H$2:$H$1228,"&gt;0")</f>
        <v>8.0</v>
      </c>
      <c r="F3" s="17">
        <f>_xlfn.IFERROR(E3/D3,0)</f>
        <v>0.16</v>
      </c>
      <c r="G3" s="16">
        <f>_xlfn.SUMIFS('Year by Year'!$H$2:$H$1228,'Year by Year'!$A$2:$A$1228,"&gt;="&amp;B3,'Year by Year'!$A$2:$A$1228,"&lt;="&amp;C3)</f>
        <v>30.0</v>
      </c>
      <c r="H3" s="16">
        <f>_xlfn.MAXIFS('Year by Year'!$H$2:$H$1228,'Year by Year'!$A$2:$A$1228,"&gt;="&amp;B3,'Year by Year'!$A$2:$A$1228,"&lt;="&amp;C3)</f>
        <v>4.0</v>
      </c>
    </row>
    <row r="4" spans="8:8" ht="15.0">
      <c r="A4" s="16" t="s">
        <v>872</v>
      </c>
      <c r="B4" s="16">
        <v>900.0</v>
      </c>
      <c r="C4" s="16">
        <v>949.0</v>
      </c>
      <c r="D4" s="16">
        <f>C4-B4+1</f>
        <v>50.0</v>
      </c>
      <c r="E4" s="16">
        <f>_xlfn.COUNTIFS('Year by Year'!$A$2:$A$1228,"&gt;="&amp;B4,'Year by Year'!$A$2:$A$1228,"&lt;="&amp;C4,'Year by Year'!$H$2:$H$1228,"&gt;0")</f>
        <v>5.0</v>
      </c>
      <c r="F4" s="17">
        <f>_xlfn.IFERROR(E4/D4,0)</f>
        <v>0.1</v>
      </c>
      <c r="G4" s="16">
        <f>_xlfn.SUMIFS('Year by Year'!$H$2:$H$1228,'Year by Year'!$A$2:$A$1228,"&gt;="&amp;B4,'Year by Year'!$A$2:$A$1228,"&lt;="&amp;C4)</f>
        <v>16.0</v>
      </c>
      <c r="H4" s="16">
        <f>_xlfn.MAXIFS('Year by Year'!$H$2:$H$1228,'Year by Year'!$A$2:$A$1228,"&gt;="&amp;B4,'Year by Year'!$A$2:$A$1228,"&lt;="&amp;C4)</f>
        <v>4.0</v>
      </c>
    </row>
    <row r="5" spans="8:8" ht="15.0">
      <c r="A5" s="16" t="s">
        <v>873</v>
      </c>
      <c r="B5" s="16">
        <v>950.0</v>
      </c>
      <c r="C5" s="16">
        <v>999.0</v>
      </c>
      <c r="D5" s="16">
        <f>C5-B5+1</f>
        <v>50.0</v>
      </c>
      <c r="E5" s="16">
        <f>_xlfn.COUNTIFS('Year by Year'!$A$2:$A$1228,"&gt;="&amp;B5,'Year by Year'!$A$2:$A$1228,"&lt;="&amp;C5,'Year by Year'!$H$2:$H$1228,"&gt;0")</f>
        <v>2.0</v>
      </c>
      <c r="F5" s="17">
        <f>_xlfn.IFERROR(E5/D5,0)</f>
        <v>0.04</v>
      </c>
      <c r="G5" s="16">
        <f>_xlfn.SUMIFS('Year by Year'!$H$2:$H$1228,'Year by Year'!$A$2:$A$1228,"&gt;="&amp;B5,'Year by Year'!$A$2:$A$1228,"&lt;="&amp;C5)</f>
        <v>6.0</v>
      </c>
      <c r="H5" s="16">
        <f>_xlfn.MAXIFS('Year by Year'!$H$2:$H$1228,'Year by Year'!$A$2:$A$1228,"&gt;="&amp;B5,'Year by Year'!$A$2:$A$1228,"&lt;="&amp;C5)</f>
        <v>3.0</v>
      </c>
    </row>
    <row r="6" spans="8:8" ht="15.0">
      <c r="A6" s="16" t="s">
        <v>874</v>
      </c>
      <c r="B6" s="16">
        <v>1000.0</v>
      </c>
      <c r="C6" s="16">
        <v>1049.0</v>
      </c>
      <c r="D6" s="16">
        <f>C6-B6+1</f>
        <v>50.0</v>
      </c>
      <c r="E6" s="16">
        <f>_xlfn.COUNTIFS('Year by Year'!$A$2:$A$1228,"&gt;="&amp;B6,'Year by Year'!$A$2:$A$1228,"&lt;="&amp;C6,'Year by Year'!$H$2:$H$1228,"&gt;0")</f>
        <v>9.0</v>
      </c>
      <c r="F6" s="17">
        <f>_xlfn.IFERROR(E6/D6,0)</f>
        <v>0.18</v>
      </c>
      <c r="G6" s="16">
        <f>_xlfn.SUMIFS('Year by Year'!$H$2:$H$1228,'Year by Year'!$A$2:$A$1228,"&gt;="&amp;B6,'Year by Year'!$A$2:$A$1228,"&lt;="&amp;C6)</f>
        <v>30.0</v>
      </c>
      <c r="H6" s="16">
        <f>_xlfn.MAXIFS('Year by Year'!$H$2:$H$1228,'Year by Year'!$A$2:$A$1228,"&gt;="&amp;B6,'Year by Year'!$A$2:$A$1228,"&lt;="&amp;C6)</f>
        <v>4.0</v>
      </c>
    </row>
    <row r="7" spans="8:8" ht="15.0">
      <c r="A7" s="16" t="s">
        <v>875</v>
      </c>
      <c r="B7" s="16">
        <v>1050.0</v>
      </c>
      <c r="C7" s="16">
        <v>1099.0</v>
      </c>
      <c r="D7" s="16">
        <f>C7-B7+1</f>
        <v>50.0</v>
      </c>
      <c r="E7" s="16">
        <f>_xlfn.COUNTIFS('Year by Year'!$A$2:$A$1228,"&gt;="&amp;B7,'Year by Year'!$A$2:$A$1228,"&lt;="&amp;C7,'Year by Year'!$H$2:$H$1228,"&gt;0")</f>
        <v>11.0</v>
      </c>
      <c r="F7" s="17">
        <f>_xlfn.IFERROR(E7/D7,0)</f>
        <v>0.22</v>
      </c>
      <c r="G7" s="16">
        <f>_xlfn.SUMIFS('Year by Year'!$H$2:$H$1228,'Year by Year'!$A$2:$A$1228,"&gt;="&amp;B7,'Year by Year'!$A$2:$A$1228,"&lt;="&amp;C7)</f>
        <v>42.0</v>
      </c>
      <c r="H7" s="16">
        <f>_xlfn.MAXIFS('Year by Year'!$H$2:$H$1228,'Year by Year'!$A$2:$A$1228,"&gt;="&amp;B7,'Year by Year'!$A$2:$A$1228,"&lt;="&amp;C7)</f>
        <v>5.0</v>
      </c>
    </row>
    <row r="8" spans="8:8" ht="15.0">
      <c r="A8" s="16" t="s">
        <v>876</v>
      </c>
      <c r="B8" s="16">
        <v>1100.0</v>
      </c>
      <c r="C8" s="16">
        <v>1149.0</v>
      </c>
      <c r="D8" s="16">
        <f>C8-B8+1</f>
        <v>50.0</v>
      </c>
      <c r="E8" s="16">
        <f>_xlfn.COUNTIFS('Year by Year'!$A$2:$A$1228,"&gt;="&amp;B8,'Year by Year'!$A$2:$A$1228,"&lt;="&amp;C8,'Year by Year'!$H$2:$H$1228,"&gt;0")</f>
        <v>3.0</v>
      </c>
      <c r="F8" s="17">
        <f>_xlfn.IFERROR(E8/D8,0)</f>
        <v>0.06</v>
      </c>
      <c r="G8" s="16">
        <f>_xlfn.SUMIFS('Year by Year'!$H$2:$H$1228,'Year by Year'!$A$2:$A$1228,"&gt;="&amp;B8,'Year by Year'!$A$2:$A$1228,"&lt;="&amp;C8)</f>
        <v>9.0</v>
      </c>
      <c r="H8" s="16">
        <f>_xlfn.MAXIFS('Year by Year'!$H$2:$H$1228,'Year by Year'!$A$2:$A$1228,"&gt;="&amp;B8,'Year by Year'!$A$2:$A$1228,"&lt;="&amp;C8)</f>
        <v>3.0</v>
      </c>
    </row>
    <row r="9" spans="8:8" ht="15.0">
      <c r="A9" s="16" t="s">
        <v>877</v>
      </c>
      <c r="B9" s="16">
        <v>1150.0</v>
      </c>
      <c r="C9" s="16">
        <v>1199.0</v>
      </c>
      <c r="D9" s="16">
        <f>C9-B9+1</f>
        <v>50.0</v>
      </c>
      <c r="E9" s="16">
        <f>_xlfn.COUNTIFS('Year by Year'!$A$2:$A$1228,"&gt;="&amp;B9,'Year by Year'!$A$2:$A$1228,"&lt;="&amp;C9,'Year by Year'!$H$2:$H$1228,"&gt;0")</f>
        <v>6.0</v>
      </c>
      <c r="F9" s="17">
        <f>_xlfn.IFERROR(E9/D9,0)</f>
        <v>0.12</v>
      </c>
      <c r="G9" s="16">
        <f>_xlfn.SUMIFS('Year by Year'!$H$2:$H$1228,'Year by Year'!$A$2:$A$1228,"&gt;="&amp;B9,'Year by Year'!$A$2:$A$1228,"&lt;="&amp;C9)</f>
        <v>18.0</v>
      </c>
      <c r="H9" s="16">
        <f>_xlfn.MAXIFS('Year by Year'!$H$2:$H$1228,'Year by Year'!$A$2:$A$1228,"&gt;="&amp;B9,'Year by Year'!$A$2:$A$1228,"&lt;="&amp;C9)</f>
        <v>4.0</v>
      </c>
    </row>
    <row r="10" spans="8:8" ht="15.0">
      <c r="A10" s="16" t="s">
        <v>878</v>
      </c>
      <c r="B10" s="16">
        <v>1200.0</v>
      </c>
      <c r="C10" s="16">
        <v>1249.0</v>
      </c>
      <c r="D10" s="16">
        <f>C10-B10+1</f>
        <v>50.0</v>
      </c>
      <c r="E10" s="16">
        <f>_xlfn.COUNTIFS('Year by Year'!$A$2:$A$1228,"&gt;="&amp;B10,'Year by Year'!$A$2:$A$1228,"&lt;="&amp;C10,'Year by Year'!$H$2:$H$1228,"&gt;0")</f>
        <v>8.0</v>
      </c>
      <c r="F10" s="17">
        <f>_xlfn.IFERROR(E10/D10,0)</f>
        <v>0.16</v>
      </c>
      <c r="G10" s="16">
        <f>_xlfn.SUMIFS('Year by Year'!$H$2:$H$1228,'Year by Year'!$A$2:$A$1228,"&gt;="&amp;B10,'Year by Year'!$A$2:$A$1228,"&lt;="&amp;C10)</f>
        <v>27.0</v>
      </c>
      <c r="H10" s="16">
        <f>_xlfn.MAXIFS('Year by Year'!$H$2:$H$1228,'Year by Year'!$A$2:$A$1228,"&gt;="&amp;B10,'Year by Year'!$A$2:$A$1228,"&lt;="&amp;C10)</f>
        <v>5.0</v>
      </c>
    </row>
    <row r="11" spans="8:8" ht="15.0">
      <c r="A11" s="16" t="s">
        <v>879</v>
      </c>
      <c r="B11" s="16">
        <v>1250.0</v>
      </c>
      <c r="C11" s="16">
        <v>1299.0</v>
      </c>
      <c r="D11" s="16">
        <f>C11-B11+1</f>
        <v>50.0</v>
      </c>
      <c r="E11" s="16">
        <f>_xlfn.COUNTIFS('Year by Year'!$A$2:$A$1228,"&gt;="&amp;B11,'Year by Year'!$A$2:$A$1228,"&lt;="&amp;C11,'Year by Year'!$H$2:$H$1228,"&gt;0")</f>
        <v>18.0</v>
      </c>
      <c r="F11" s="17">
        <f>_xlfn.IFERROR(E11/D11,0)</f>
        <v>0.36</v>
      </c>
      <c r="G11" s="16">
        <f>_xlfn.SUMIFS('Year by Year'!$H$2:$H$1228,'Year by Year'!$A$2:$A$1228,"&gt;="&amp;B11,'Year by Year'!$A$2:$A$1228,"&lt;="&amp;C11)</f>
        <v>54.0</v>
      </c>
      <c r="H11" s="16">
        <f>_xlfn.MAXIFS('Year by Year'!$H$2:$H$1228,'Year by Year'!$A$2:$A$1228,"&gt;="&amp;B11,'Year by Year'!$A$2:$A$1228,"&lt;="&amp;C11)</f>
        <v>5.0</v>
      </c>
    </row>
    <row r="12" spans="8:8" ht="15.0">
      <c r="A12" s="16" t="s">
        <v>880</v>
      </c>
      <c r="B12" s="16">
        <v>1300.0</v>
      </c>
      <c r="C12" s="16">
        <v>1349.0</v>
      </c>
      <c r="D12" s="16">
        <f>C12-B12+1</f>
        <v>50.0</v>
      </c>
      <c r="E12" s="16">
        <f>_xlfn.COUNTIFS('Year by Year'!$A$2:$A$1228,"&gt;="&amp;B12,'Year by Year'!$A$2:$A$1228,"&lt;="&amp;C12,'Year by Year'!$H$2:$H$1228,"&gt;0")</f>
        <v>19.0</v>
      </c>
      <c r="F12" s="17">
        <f>_xlfn.IFERROR(E12/D12,0)</f>
        <v>0.38</v>
      </c>
      <c r="G12" s="16">
        <f>_xlfn.SUMIFS('Year by Year'!$H$2:$H$1228,'Year by Year'!$A$2:$A$1228,"&gt;="&amp;B12,'Year by Year'!$A$2:$A$1228,"&lt;="&amp;C12)</f>
        <v>66.0</v>
      </c>
      <c r="H12" s="16">
        <f>_xlfn.MAXIFS('Year by Year'!$H$2:$H$1228,'Year by Year'!$A$2:$A$1228,"&gt;="&amp;B12,'Year by Year'!$A$2:$A$1228,"&lt;="&amp;C12)</f>
        <v>5.0</v>
      </c>
    </row>
    <row r="13" spans="8:8" ht="15.0">
      <c r="A13" s="16" t="s">
        <v>881</v>
      </c>
      <c r="B13" s="16">
        <v>1350.0</v>
      </c>
      <c r="C13" s="16">
        <v>1399.0</v>
      </c>
      <c r="D13" s="16">
        <f>C13-B13+1</f>
        <v>50.0</v>
      </c>
      <c r="E13" s="16">
        <f>_xlfn.COUNTIFS('Year by Year'!$A$2:$A$1228,"&gt;="&amp;B13,'Year by Year'!$A$2:$A$1228,"&lt;="&amp;C13,'Year by Year'!$H$2:$H$1228,"&gt;0")</f>
        <v>8.0</v>
      </c>
      <c r="F13" s="17">
        <f>_xlfn.IFERROR(E13/D13,0)</f>
        <v>0.16</v>
      </c>
      <c r="G13" s="16">
        <f>_xlfn.SUMIFS('Year by Year'!$H$2:$H$1228,'Year by Year'!$A$2:$A$1228,"&gt;="&amp;B13,'Year by Year'!$A$2:$A$1228,"&lt;="&amp;C13)</f>
        <v>21.0</v>
      </c>
      <c r="H13" s="16">
        <f>_xlfn.MAXIFS('Year by Year'!$H$2:$H$1228,'Year by Year'!$A$2:$A$1228,"&gt;="&amp;B13,'Year by Year'!$A$2:$A$1228,"&lt;="&amp;C13)</f>
        <v>4.0</v>
      </c>
    </row>
    <row r="14" spans="8:8" ht="15.0">
      <c r="A14" s="16" t="s">
        <v>882</v>
      </c>
      <c r="B14" s="16">
        <v>1400.0</v>
      </c>
      <c r="C14" s="16">
        <v>1449.0</v>
      </c>
      <c r="D14" s="16">
        <f>C14-B14+1</f>
        <v>50.0</v>
      </c>
      <c r="E14" s="16">
        <f>_xlfn.COUNTIFS('Year by Year'!$A$2:$A$1228,"&gt;="&amp;B14,'Year by Year'!$A$2:$A$1228,"&lt;="&amp;C14,'Year by Year'!$H$2:$H$1228,"&gt;0")</f>
        <v>6.0</v>
      </c>
      <c r="F14" s="17">
        <f>_xlfn.IFERROR(E14/D14,0)</f>
        <v>0.12</v>
      </c>
      <c r="G14" s="16">
        <f>_xlfn.SUMIFS('Year by Year'!$H$2:$H$1228,'Year by Year'!$A$2:$A$1228,"&gt;="&amp;B14,'Year by Year'!$A$2:$A$1228,"&lt;="&amp;C14)</f>
        <v>17.0</v>
      </c>
      <c r="H14" s="16">
        <f>_xlfn.MAXIFS('Year by Year'!$H$2:$H$1228,'Year by Year'!$A$2:$A$1228,"&gt;="&amp;B14,'Year by Year'!$A$2:$A$1228,"&lt;="&amp;C14)</f>
        <v>4.0</v>
      </c>
    </row>
    <row r="15" spans="8:8" ht="15.0">
      <c r="A15" s="16" t="s">
        <v>883</v>
      </c>
      <c r="B15" s="16">
        <v>1450.0</v>
      </c>
      <c r="C15" s="16">
        <v>1499.0</v>
      </c>
      <c r="D15" s="16">
        <f>C15-B15+1</f>
        <v>50.0</v>
      </c>
      <c r="E15" s="16">
        <f>_xlfn.COUNTIFS('Year by Year'!$A$2:$A$1228,"&gt;="&amp;B15,'Year by Year'!$A$2:$A$1228,"&lt;="&amp;C15,'Year by Year'!$H$2:$H$1228,"&gt;0")</f>
        <v>11.0</v>
      </c>
      <c r="F15" s="17">
        <f>_xlfn.IFERROR(E15/D15,0)</f>
        <v>0.22</v>
      </c>
      <c r="G15" s="16">
        <f>_xlfn.SUMIFS('Year by Year'!$H$2:$H$1228,'Year by Year'!$A$2:$A$1228,"&gt;="&amp;B15,'Year by Year'!$A$2:$A$1228,"&lt;="&amp;C15)</f>
        <v>32.0</v>
      </c>
      <c r="H15" s="16">
        <f>_xlfn.MAXIFS('Year by Year'!$H$2:$H$1228,'Year by Year'!$A$2:$A$1228,"&gt;="&amp;B15,'Year by Year'!$A$2:$A$1228,"&lt;="&amp;C15)</f>
        <v>4.0</v>
      </c>
    </row>
    <row r="16" spans="8:8" ht="15.0">
      <c r="A16" s="16" t="s">
        <v>884</v>
      </c>
      <c r="B16" s="16">
        <v>1500.0</v>
      </c>
      <c r="C16" s="16">
        <v>1549.0</v>
      </c>
      <c r="D16" s="16">
        <f>C16-B16+1</f>
        <v>50.0</v>
      </c>
      <c r="E16" s="16">
        <f>_xlfn.COUNTIFS('Year by Year'!$A$2:$A$1228,"&gt;="&amp;B16,'Year by Year'!$A$2:$A$1228,"&lt;="&amp;C16,'Year by Year'!$H$2:$H$1228,"&gt;0")</f>
        <v>9.0</v>
      </c>
      <c r="F16" s="17">
        <f>_xlfn.IFERROR(E16/D16,0)</f>
        <v>0.18</v>
      </c>
      <c r="G16" s="16">
        <f>_xlfn.SUMIFS('Year by Year'!$H$2:$H$1228,'Year by Year'!$A$2:$A$1228,"&gt;="&amp;B16,'Year by Year'!$A$2:$A$1228,"&lt;="&amp;C16)</f>
        <v>25.0</v>
      </c>
      <c r="H16" s="16">
        <f>_xlfn.MAXIFS('Year by Year'!$H$2:$H$1228,'Year by Year'!$A$2:$A$1228,"&gt;="&amp;B16,'Year by Year'!$A$2:$A$1228,"&lt;="&amp;C16)</f>
        <v>4.0</v>
      </c>
    </row>
    <row r="17" spans="8:8" ht="15.0">
      <c r="A17" s="16" t="s">
        <v>885</v>
      </c>
      <c r="B17" s="16">
        <v>1550.0</v>
      </c>
      <c r="C17" s="16">
        <v>1599.0</v>
      </c>
      <c r="D17" s="16">
        <f>C17-B17+1</f>
        <v>50.0</v>
      </c>
      <c r="E17" s="16">
        <f>_xlfn.COUNTIFS('Year by Year'!$A$2:$A$1228,"&gt;="&amp;B17,'Year by Year'!$A$2:$A$1228,"&lt;="&amp;C17,'Year by Year'!$H$2:$H$1228,"&gt;0")</f>
        <v>14.0</v>
      </c>
      <c r="F17" s="17">
        <f>_xlfn.IFERROR(E17/D17,0)</f>
        <v>0.28</v>
      </c>
      <c r="G17" s="16">
        <f>_xlfn.SUMIFS('Year by Year'!$H$2:$H$1228,'Year by Year'!$A$2:$A$1228,"&gt;="&amp;B17,'Year by Year'!$A$2:$A$1228,"&lt;="&amp;C17)</f>
        <v>48.0</v>
      </c>
      <c r="H17" s="16">
        <f>_xlfn.MAXIFS('Year by Year'!$H$2:$H$1228,'Year by Year'!$A$2:$A$1228,"&gt;="&amp;B17,'Year by Year'!$A$2:$A$1228,"&lt;="&amp;C17)</f>
        <v>5.0</v>
      </c>
    </row>
    <row r="18" spans="8:8" ht="15.0">
      <c r="A18" s="16" t="s">
        <v>886</v>
      </c>
      <c r="B18" s="16">
        <v>1600.0</v>
      </c>
      <c r="C18" s="16">
        <v>1649.0</v>
      </c>
      <c r="D18" s="16">
        <f>C18-B18+1</f>
        <v>50.0</v>
      </c>
      <c r="E18" s="16">
        <f>_xlfn.COUNTIFS('Year by Year'!$A$2:$A$1228,"&gt;="&amp;B18,'Year by Year'!$A$2:$A$1228,"&lt;="&amp;C18,'Year by Year'!$H$2:$H$1228,"&gt;0")</f>
        <v>10.0</v>
      </c>
      <c r="F18" s="17">
        <f>_xlfn.IFERROR(E18/D18,0)</f>
        <v>0.2</v>
      </c>
      <c r="G18" s="16">
        <f>_xlfn.SUMIFS('Year by Year'!$H$2:$H$1228,'Year by Year'!$A$2:$A$1228,"&gt;="&amp;B18,'Year by Year'!$A$2:$A$1228,"&lt;="&amp;C18)</f>
        <v>32.0</v>
      </c>
      <c r="H18" s="16">
        <f>_xlfn.MAXIFS('Year by Year'!$H$2:$H$1228,'Year by Year'!$A$2:$A$1228,"&gt;="&amp;B18,'Year by Year'!$A$2:$A$1228,"&lt;="&amp;C18)</f>
        <v>4.0</v>
      </c>
    </row>
    <row r="19" spans="8:8" ht="15.0">
      <c r="A19" s="16" t="s">
        <v>887</v>
      </c>
      <c r="B19" s="16">
        <v>1650.0</v>
      </c>
      <c r="C19" s="16">
        <v>1699.0</v>
      </c>
      <c r="D19" s="16">
        <f>C19-B19+1</f>
        <v>50.0</v>
      </c>
      <c r="E19" s="16">
        <f>_xlfn.COUNTIFS('Year by Year'!$A$2:$A$1228,"&gt;="&amp;B19,'Year by Year'!$A$2:$A$1228,"&lt;="&amp;C19,'Year by Year'!$H$2:$H$1228,"&gt;0")</f>
        <v>4.0</v>
      </c>
      <c r="F19" s="17">
        <f>_xlfn.IFERROR(E19/D19,0)</f>
        <v>0.08</v>
      </c>
      <c r="G19" s="16">
        <f>_xlfn.SUMIFS('Year by Year'!$H$2:$H$1228,'Year by Year'!$A$2:$A$1228,"&gt;="&amp;B19,'Year by Year'!$A$2:$A$1228,"&lt;="&amp;C19)</f>
        <v>11.0</v>
      </c>
      <c r="H19" s="16">
        <f>_xlfn.MAXIFS('Year by Year'!$H$2:$H$1228,'Year by Year'!$A$2:$A$1228,"&gt;="&amp;B19,'Year by Year'!$A$2:$A$1228,"&lt;="&amp;C19)</f>
        <v>4.0</v>
      </c>
    </row>
    <row r="20" spans="8:8" ht="15.0">
      <c r="A20" s="16" t="s">
        <v>888</v>
      </c>
      <c r="B20" s="16">
        <v>1700.0</v>
      </c>
      <c r="C20" s="16">
        <v>1749.0</v>
      </c>
      <c r="D20" s="16">
        <f>C20-B20+1</f>
        <v>50.0</v>
      </c>
      <c r="E20" s="16">
        <f>_xlfn.COUNTIFS('Year by Year'!$A$2:$A$1228,"&gt;="&amp;B20,'Year by Year'!$A$2:$A$1228,"&lt;="&amp;C20,'Year by Year'!$H$2:$H$1228,"&gt;0")</f>
        <v>4.0</v>
      </c>
      <c r="F20" s="17">
        <f>_xlfn.IFERROR(E20/D20,0)</f>
        <v>0.08</v>
      </c>
      <c r="G20" s="16">
        <f>_xlfn.SUMIFS('Year by Year'!$H$2:$H$1228,'Year by Year'!$A$2:$A$1228,"&gt;="&amp;B20,'Year by Year'!$A$2:$A$1228,"&lt;="&amp;C20)</f>
        <v>14.0</v>
      </c>
      <c r="H20" s="16">
        <f>_xlfn.MAXIFS('Year by Year'!$H$2:$H$1228,'Year by Year'!$A$2:$A$1228,"&gt;="&amp;B20,'Year by Year'!$A$2:$A$1228,"&lt;="&amp;C20)</f>
        <v>5.0</v>
      </c>
    </row>
    <row r="21" spans="8:8" ht="15.0">
      <c r="A21" s="16" t="s">
        <v>889</v>
      </c>
      <c r="B21" s="16">
        <v>1750.0</v>
      </c>
      <c r="C21" s="16">
        <v>1799.0</v>
      </c>
      <c r="D21" s="16">
        <f>C21-B21+1</f>
        <v>50.0</v>
      </c>
      <c r="E21" s="16">
        <f>_xlfn.COUNTIFS('Year by Year'!$A$2:$A$1228,"&gt;="&amp;B21,'Year by Year'!$A$2:$A$1228,"&lt;="&amp;C21,'Year by Year'!$H$2:$H$1228,"&gt;0")</f>
        <v>11.0</v>
      </c>
      <c r="F21" s="17">
        <f>_xlfn.IFERROR(E21/D21,0)</f>
        <v>0.22</v>
      </c>
      <c r="G21" s="16">
        <f>_xlfn.SUMIFS('Year by Year'!$H$2:$H$1228,'Year by Year'!$A$2:$A$1228,"&gt;="&amp;B21,'Year by Year'!$A$2:$A$1228,"&lt;="&amp;C21)</f>
        <v>33.0</v>
      </c>
      <c r="H21" s="16">
        <f>_xlfn.MAXIFS('Year by Year'!$H$2:$H$1228,'Year by Year'!$A$2:$A$1228,"&gt;="&amp;B21,'Year by Year'!$A$2:$A$1228,"&lt;="&amp;C21)</f>
        <v>4.0</v>
      </c>
    </row>
    <row r="22" spans="8:8" ht="15.0">
      <c r="A22" s="16" t="s">
        <v>890</v>
      </c>
      <c r="B22" s="16">
        <v>1800.0</v>
      </c>
      <c r="C22" s="16">
        <v>1849.0</v>
      </c>
      <c r="D22" s="16">
        <f>C22-B22+1</f>
        <v>50.0</v>
      </c>
      <c r="E22" s="16">
        <f>_xlfn.COUNTIFS('Year by Year'!$A$2:$A$1228,"&gt;="&amp;B22,'Year by Year'!$A$2:$A$1228,"&lt;="&amp;C22,'Year by Year'!$H$2:$H$1228,"&gt;0")</f>
        <v>18.0</v>
      </c>
      <c r="F22" s="17">
        <f>_xlfn.IFERROR(E22/D22,0)</f>
        <v>0.36</v>
      </c>
      <c r="G22" s="16">
        <f>_xlfn.SUMIFS('Year by Year'!$H$2:$H$1228,'Year by Year'!$A$2:$A$1228,"&gt;="&amp;B22,'Year by Year'!$A$2:$A$1228,"&lt;="&amp;C22)</f>
        <v>57.0</v>
      </c>
      <c r="H22" s="16">
        <f>_xlfn.MAXIFS('Year by Year'!$H$2:$H$1228,'Year by Year'!$A$2:$A$1228,"&gt;="&amp;B22,'Year by Year'!$A$2:$A$1228,"&lt;="&amp;C22)</f>
        <v>5.0</v>
      </c>
    </row>
    <row r="23" spans="8:8" ht="15.0">
      <c r="A23" s="16" t="s">
        <v>891</v>
      </c>
      <c r="B23" s="16">
        <v>1850.0</v>
      </c>
      <c r="C23" s="16">
        <v>1899.0</v>
      </c>
      <c r="D23" s="16">
        <f>C23-B23+1</f>
        <v>50.0</v>
      </c>
      <c r="E23" s="16">
        <f>_xlfn.COUNTIFS('Year by Year'!$A$2:$A$1228,"&gt;="&amp;B23,'Year by Year'!$A$2:$A$1228,"&lt;="&amp;C23,'Year by Year'!$H$2:$H$1228,"&gt;0")</f>
        <v>19.0</v>
      </c>
      <c r="F23" s="17">
        <f>_xlfn.IFERROR(E23/D23,0)</f>
        <v>0.38</v>
      </c>
      <c r="G23" s="16">
        <f>_xlfn.SUMIFS('Year by Year'!$H$2:$H$1228,'Year by Year'!$A$2:$A$1228,"&gt;="&amp;B23,'Year by Year'!$A$2:$A$1228,"&lt;="&amp;C23)</f>
        <v>64.0</v>
      </c>
      <c r="H23" s="16">
        <f>_xlfn.MAXIFS('Year by Year'!$H$2:$H$1228,'Year by Year'!$A$2:$A$1228,"&gt;="&amp;B23,'Year by Year'!$A$2:$A$1228,"&lt;="&amp;C23)</f>
        <v>5.0</v>
      </c>
    </row>
    <row r="24" spans="8:8" ht="15.0">
      <c r="A24" s="16" t="s">
        <v>892</v>
      </c>
      <c r="B24" s="16">
        <v>1900.0</v>
      </c>
      <c r="C24" s="16">
        <v>1949.0</v>
      </c>
      <c r="D24" s="16">
        <f>C24-B24+1</f>
        <v>50.0</v>
      </c>
      <c r="E24" s="16">
        <f>_xlfn.COUNTIFS('Year by Year'!$A$2:$A$1228,"&gt;="&amp;B24,'Year by Year'!$A$2:$A$1228,"&lt;="&amp;C24,'Year by Year'!$H$2:$H$1228,"&gt;0")</f>
        <v>23.0</v>
      </c>
      <c r="F24" s="17">
        <f>_xlfn.IFERROR(E24/D24,0)</f>
        <v>0.46</v>
      </c>
      <c r="G24" s="16">
        <f>_xlfn.SUMIFS('Year by Year'!$H$2:$H$1228,'Year by Year'!$A$2:$A$1228,"&gt;="&amp;B24,'Year by Year'!$A$2:$A$1228,"&lt;="&amp;C24)</f>
        <v>79.0</v>
      </c>
      <c r="H24" s="16">
        <f>_xlfn.MAXIFS('Year by Year'!$H$2:$H$1228,'Year by Year'!$A$2:$A$1228,"&gt;="&amp;B24,'Year by Year'!$A$2:$A$1228,"&lt;="&amp;C24)</f>
        <v>5.0</v>
      </c>
    </row>
    <row r="25" spans="8:8" ht="15.0">
      <c r="A25" s="16" t="s">
        <v>893</v>
      </c>
      <c r="B25" s="16">
        <v>1950.0</v>
      </c>
      <c r="C25" s="16">
        <v>1999.0</v>
      </c>
      <c r="D25" s="16">
        <f>C25-B25+1</f>
        <v>50.0</v>
      </c>
      <c r="E25" s="16">
        <f>_xlfn.COUNTIFS('Year by Year'!$A$2:$A$1228,"&gt;="&amp;B25,'Year by Year'!$A$2:$A$1228,"&lt;="&amp;C25,'Year by Year'!$H$2:$H$1228,"&gt;0")</f>
        <v>32.0</v>
      </c>
      <c r="F25" s="17">
        <f>_xlfn.IFERROR(E25/D25,0)</f>
        <v>0.64</v>
      </c>
      <c r="G25" s="16">
        <f>_xlfn.SUMIFS('Year by Year'!$H$2:$H$1228,'Year by Year'!$A$2:$A$1228,"&gt;="&amp;B25,'Year by Year'!$A$2:$A$1228,"&lt;="&amp;C25)</f>
        <v>113.0</v>
      </c>
      <c r="H25" s="16">
        <f>_xlfn.MAXIFS('Year by Year'!$H$2:$H$1228,'Year by Year'!$A$2:$A$1228,"&gt;="&amp;B25,'Year by Year'!$A$2:$A$1228,"&lt;="&amp;C25)</f>
        <v>5.0</v>
      </c>
    </row>
    <row r="26" spans="8:8" ht="15.0">
      <c r="A26" s="16" t="s">
        <v>894</v>
      </c>
      <c r="B26" s="16">
        <v>2000.0</v>
      </c>
      <c r="C26" s="16">
        <v>2026.0</v>
      </c>
      <c r="D26" s="16">
        <f>C26-B26+1</f>
        <v>27.0</v>
      </c>
      <c r="E26" s="16">
        <f>_xlfn.COUNTIFS('Year by Year'!$A$2:$A$1228,"&gt;="&amp;B26,'Year by Year'!$A$2:$A$1228,"&lt;="&amp;C26,'Year by Year'!$H$2:$H$1228,"&gt;0")</f>
        <v>27.0</v>
      </c>
      <c r="F26" s="17">
        <f>_xlfn.IFERROR(E26/D26,0)</f>
        <v>1.0</v>
      </c>
      <c r="G26" s="16">
        <f>_xlfn.SUMIFS('Year by Year'!$H$2:$H$1228,'Year by Year'!$A$2:$A$1228,"&gt;="&amp;B26,'Year by Year'!$A$2:$A$1228,"&lt;="&amp;C26)</f>
        <v>110.0</v>
      </c>
      <c r="H26" s="16">
        <f>_xlfn.MAXIFS('Year by Year'!$H$2:$H$1228,'Year by Year'!$A$2:$A$1228,"&gt;="&amp;B26,'Year by Year'!$A$2:$A$1228,"&lt;="&amp;C26)</f>
        <v>5.0</v>
      </c>
    </row>
    <row r="27" spans="8:8" ht="15.0">
      <c r="A27" s="18" t="s">
        <v>895</v>
      </c>
      <c r="B27" s="18">
        <v>800.0</v>
      </c>
      <c r="C27" s="18">
        <v>2026.0</v>
      </c>
      <c r="D27" s="18">
        <f>SUM(D2:D26)</f>
        <v>1227.0</v>
      </c>
      <c r="E27" s="18">
        <f>SUM(E2:E26)</f>
        <v>289.0</v>
      </c>
      <c r="F27" s="19">
        <f>_xlfn.IFERROR(E27/D27,0)</f>
        <v>0.23553382233088835</v>
      </c>
      <c r="G27" s="18">
        <f>SUM(G2:G26)</f>
        <v>966.0</v>
      </c>
      <c r="H27" s="18">
        <f>MAX(H2:H26)</f>
        <v>5.0</v>
      </c>
    </row>
  </sheetData>
  <pageMargins left="0.75" right="0.75" top="1.0" bottom="1.0" header="0.511811023622047" footer="0.511811023622047"/>
  <pageSetup paperSize="9"/>
</worksheet>
</file>

<file path=xl/worksheets/sheet4.xml><?xml version="1.0" encoding="utf-8"?>
<worksheet xmlns:r="http://schemas.openxmlformats.org/officeDocument/2006/relationships" xmlns="http://schemas.openxmlformats.org/spreadsheetml/2006/main">
  <dimension ref="A1:C31"/>
  <sheetViews>
    <sheetView workbookViewId="0">
      <selection activeCell="A1" sqref="A1"/>
    </sheetView>
  </sheetViews>
  <sheetFormatPr defaultRowHeight="15.0" zeroHeight="1"/>
  <cols>
    <col min="1" max="1" customWidth="1" width="26.0" style="0"/>
    <col min="2" max="2" customWidth="1" width="120.0" style="0"/>
  </cols>
  <sheetData>
    <row r="1" spans="8:8" ht="15.0">
      <c r="A1" s="20" t="s">
        <v>896</v>
      </c>
      <c r="B1" s="21" t="s">
        <v>897</v>
      </c>
    </row>
    <row r="2" spans="8:8" ht="15.0">
      <c r="A2" s="22"/>
      <c r="B2" s="23"/>
    </row>
    <row r="3" spans="8:8" ht="23.85">
      <c r="A3" s="22" t="s">
        <v>898</v>
      </c>
      <c r="B3" s="23" t="s">
        <v>899</v>
      </c>
    </row>
    <row r="4" spans="8:8" ht="15.0">
      <c r="A4" s="22" t="s">
        <v>900</v>
      </c>
      <c r="B4" s="23" t="s">
        <v>901</v>
      </c>
    </row>
    <row r="5" spans="8:8" ht="15.0">
      <c r="A5" s="22" t="s">
        <v>902</v>
      </c>
      <c r="B5" s="23" t="s">
        <v>903</v>
      </c>
    </row>
    <row r="6" spans="8:8" ht="23.85">
      <c r="A6" s="22" t="s">
        <v>904</v>
      </c>
      <c r="B6" s="23" t="s">
        <v>905</v>
      </c>
    </row>
    <row r="7" spans="8:8" ht="15.0">
      <c r="A7" s="22"/>
      <c r="B7" s="23"/>
    </row>
    <row r="8" spans="8:8" ht="15.0">
      <c r="A8" s="22" t="s">
        <v>906</v>
      </c>
      <c r="B8" s="23" t="s">
        <v>907</v>
      </c>
    </row>
    <row r="9" spans="8:8" ht="15.0">
      <c r="A9" s="22" t="s">
        <v>908</v>
      </c>
      <c r="B9" s="23" t="s">
        <v>909</v>
      </c>
    </row>
    <row r="10" spans="8:8" ht="15.0">
      <c r="A10" s="22" t="s">
        <v>910</v>
      </c>
      <c r="B10" s="23" t="s">
        <v>911</v>
      </c>
    </row>
    <row r="11" spans="8:8" ht="15.0">
      <c r="A11" s="22" t="s">
        <v>912</v>
      </c>
      <c r="B11" s="23" t="s">
        <v>913</v>
      </c>
    </row>
    <row r="12" spans="8:8" ht="15.0">
      <c r="A12" s="22" t="s">
        <v>914</v>
      </c>
      <c r="B12" s="23" t="s">
        <v>915</v>
      </c>
    </row>
    <row r="13" spans="8:8" ht="15.0">
      <c r="A13" s="22" t="s">
        <v>916</v>
      </c>
      <c r="B13" s="23" t="s">
        <v>917</v>
      </c>
    </row>
    <row r="14" spans="8:8" ht="15.0">
      <c r="A14" s="22" t="s">
        <v>918</v>
      </c>
      <c r="B14" s="23" t="s">
        <v>919</v>
      </c>
    </row>
    <row r="15" spans="8:8" ht="15.0">
      <c r="A15" s="22"/>
      <c r="B15" s="23"/>
    </row>
    <row r="16" spans="8:8" ht="15.0">
      <c r="A16" s="22" t="s">
        <v>920</v>
      </c>
      <c r="B16" s="23"/>
    </row>
    <row r="17" spans="8:8" ht="35.05">
      <c r="A17" s="22" t="s">
        <v>921</v>
      </c>
      <c r="B17" s="23" t="s">
        <v>922</v>
      </c>
    </row>
    <row r="18" spans="8:8" ht="35.05">
      <c r="A18" s="22" t="s">
        <v>923</v>
      </c>
      <c r="B18" s="23" t="s">
        <v>924</v>
      </c>
    </row>
    <row r="19" spans="8:8" ht="15.0">
      <c r="A19" s="22"/>
      <c r="B19" s="23"/>
    </row>
    <row r="20" spans="8:8" ht="15.0">
      <c r="A20" s="22" t="s">
        <v>925</v>
      </c>
      <c r="B20" s="23"/>
    </row>
    <row r="21" spans="8:8" ht="35.05">
      <c r="A21" s="22" t="s">
        <v>926</v>
      </c>
      <c r="B21" s="23" t="s">
        <v>927</v>
      </c>
    </row>
    <row r="22" spans="8:8" ht="35.05">
      <c r="A22" s="22" t="s">
        <v>928</v>
      </c>
      <c r="B22" s="23" t="s">
        <v>929</v>
      </c>
    </row>
    <row r="23" spans="8:8" ht="23.85">
      <c r="A23" s="22" t="s">
        <v>930</v>
      </c>
      <c r="B23" s="23" t="s">
        <v>931</v>
      </c>
    </row>
    <row r="24" spans="8:8" ht="15.0">
      <c r="A24" s="22"/>
      <c r="B24" s="23"/>
    </row>
    <row r="25" spans="8:8" ht="15.0">
      <c r="A25" s="22" t="s">
        <v>932</v>
      </c>
      <c r="B25" s="23"/>
    </row>
    <row r="26" spans="8:8" ht="23.85">
      <c r="A26" s="22" t="s">
        <v>933</v>
      </c>
      <c r="B26" s="23" t="s">
        <v>934</v>
      </c>
    </row>
    <row r="27" spans="8:8" ht="35.05">
      <c r="A27" s="22" t="s">
        <v>935</v>
      </c>
      <c r="B27" s="23" t="s">
        <v>936</v>
      </c>
    </row>
    <row r="28" spans="8:8" ht="23.85">
      <c r="A28" s="22" t="s">
        <v>937</v>
      </c>
      <c r="B28" s="23" t="s">
        <v>938</v>
      </c>
    </row>
    <row r="29" spans="8:8" ht="23.85">
      <c r="A29" s="22" t="s">
        <v>939</v>
      </c>
      <c r="B29" s="23" t="s">
        <v>940</v>
      </c>
    </row>
    <row r="30" spans="8:8" ht="15.0">
      <c r="A30" s="22"/>
      <c r="B30" s="23"/>
    </row>
    <row r="31" spans="8:8" ht="35.05">
      <c r="A31" s="22" t="s">
        <v>941</v>
      </c>
      <c r="B31" s="23" t="s">
        <v>942</v>
      </c>
    </row>
  </sheetData>
  <pageMargins left="0.75" right="0.75" top="1.0" bottom="1.0" header="0.511811023622047" footer="0.511811023622047"/>
  <pageSetup paperSize="9"/>
</worksheet>
</file>

<file path=docProps/app.xml><?xml version="1.0" encoding="utf-8"?>
<Properties xmlns="http://schemas.openxmlformats.org/officeDocument/2006/extended-properties">
  <Application>Kingsoft Office</Application>
  <ScaleCrop>0</ScaleCrop>
  <LinksUpToDate>0</LinksUpToDate>
  <AppVersion>15.0000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2026-09-06T08:34:06Z</dcterms:created>
  <dcterms:modified xsi:type="dcterms:W3CDTF">2026-10-05T18:49:04Z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aea4d3b8373d47f48156c9b4710fea2d</vt:lpwstr>
  </property>
</Properties>
</file>